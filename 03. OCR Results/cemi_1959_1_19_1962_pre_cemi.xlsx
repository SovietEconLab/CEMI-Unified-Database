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Full_Roster" sheetId="7" state="visible" r:id="rId9"/>
    <sheet name="Admin_Summary" sheetId="8" state="visible" r:id="rId10"/>
    <sheet name="Financia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<sst xmlns="http://schemas.openxmlformats.org/spreadsheetml/2006/main" count="571" uniqueCount="373">
  <si>
    <t xml:space="preserve">Лаборатория экономико-математических методов АН СССР — Personnel Report 1962 (PRE-CEMI)</t>
  </si>
  <si>
    <t xml:space="preserve">Form 10-НР (NOT 10-НПР) | АРАН Ф.1959 оп.1 д.19 | 9 pages | folios 25–33 | Reporting period: 25.IX.1961 — 1.XI.1962</t>
  </si>
  <si>
    <t xml:space="preserve">Director: академик В.С. НЕМЧИНОВ (founder of Soviet mathematical economics)</t>
  </si>
  <si>
    <t xml:space="preserve">Зам.директора: канд.экон.наук М.М. ГОЛАНСКИЙ (signs List 1, becomes ст.н.с. by 1965)</t>
  </si>
  <si>
    <t xml:space="preserve">Ст.инспектор по кадрам / Зам.директора (dual role): В.М. ДОМНИКОВ</t>
  </si>
  <si>
    <t xml:space="preserve">★★★ THIS IS THE EARLIEST EXTANT DOCUMENT IN ENTIRE CEMI ARCHIVAL SERIES — predates ЦЭМИ founding (May 1963). The institute was founded by absorbing this laboratory. The 32-name roster on page 5-7 documents the FOUNDING SCIENTIFIC CADRE before institutional elevation.</t>
  </si>
  <si>
    <t xml:space="preserve">★★★ Director НЕМЧИНОВ В.С. — academician AS USSR (since 1946), foundational figure in Soviet mathematical economics. After CEMI founding 1963, he became zав.лабораторией under FEDORENKO's directorship (per д.30 List_4 #1). DIED 5.XI.1964 — making this packet one of only TWO formal CEMI/precursor documents featuring him as living director.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</si>
  <si>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</si>
  <si>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</si>
  <si>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</si>
  <si>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</si>
  <si>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</si>
  <si>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</t>
  </si>
  <si>
    <t xml:space="preserve">List_1</t>
  </si>
  <si>
    <t xml:space="preserve">СПИСОК № 1 — защита диссертаций</t>
  </si>
  <si>
    <t xml:space="preserve">Dissertation defenses (★ EMPTY: 'нет' — no defenses in 13-month reporting period)</t>
  </si>
  <si>
    <t xml:space="preserve">25</t>
  </si>
  <si>
    <t xml:space="preserve">List_2</t>
  </si>
  <si>
    <t xml:space="preserve">СПИСОК № 2 — выбытие</t>
  </si>
  <si>
    <t xml:space="preserve">Departures (1 entry: БАРАНОВА С.П. — round-trip trail to д.30)</t>
  </si>
  <si>
    <t xml:space="preserve">26</t>
  </si>
  <si>
    <t xml:space="preserve">List_3</t>
  </si>
  <si>
    <t xml:space="preserve">СПИСОК № 3 — внешние совместители (входящие)</t>
  </si>
  <si>
    <t xml:space="preserve">Inbound co-affiliates (★ EMPTY: 'нет')</t>
  </si>
  <si>
    <t xml:space="preserve">27</t>
  </si>
  <si>
    <t xml:space="preserve">List_4</t>
  </si>
  <si>
    <t xml:space="preserve">СПИСОК № 4 — внешние совместители (выходящие)</t>
  </si>
  <si>
    <t xml:space="preserve">Outbound co-affiliates (★★★ NEMCHINOV at МГУ — handwritten over 'нет')</t>
  </si>
  <si>
    <t xml:space="preserve">28</t>
  </si>
  <si>
    <t xml:space="preserve">Full_Roster</t>
  </si>
  <si>
    <t xml:space="preserve">КОНТРОЛЬНЫЙ СПИСОК научных работников на 1.XI.1962</t>
  </si>
  <si>
    <t xml:space="preserve">★★ Full roster of 32 scientific researchers — INSTITUTIONAL FOUNDING CADRE</t>
  </si>
  <si>
    <t xml:space="preserve">29–31</t>
  </si>
  <si>
    <t xml:space="preserve">Admin_Summary</t>
  </si>
  <si>
    <t xml:space="preserve">Сводка по составу на 1.X.1962 (письмо вице-президенту)</t>
  </si>
  <si>
    <t xml:space="preserve">Administrative breakdown by rank (letter to academician P.N. FEDOSEEV)</t>
  </si>
  <si>
    <t xml:space="preserve">33</t>
  </si>
  <si>
    <t xml:space="preserve">Financial</t>
  </si>
  <si>
    <t xml:space="preserve">Финансовая справка на 1.X.1962</t>
  </si>
  <si>
    <t xml:space="preserve">Salary fund and vacancy data sent to ПФО АН СССР</t>
  </si>
  <si>
    <t xml:space="preserve">32</t>
  </si>
  <si>
    <t xml:space="preserve">TOTAL</t>
  </si>
  <si>
    <t xml:space="preserve">(7 sheets)</t>
  </si>
  <si>
    <t xml:space="preserve">Key historiographical findings</t>
  </si>
  <si>
    <t xml:space="preserve">1. ★★★ FIRST KNOWN COMPLETE ROSTER OF FUTURE CEMI</t>
  </si>
  <si>
    <t xml:space="preserve">The Контрольный список on pages 5-7 lists all 32 scientific researchers of the Лаборатория экономико-математических методов АН СССР as of 1.XI.1962 — the institutional cadre that became the founding personnel of ЦЭМИ when it was elevated by Order № 2-1577 of 1.X.1963. This is the most complete picture of CEMI's pre-history. By comparison, д.30 (1963) shows hires DURING the founding year; this packet shows the lab's state BEFORE it was elevated.</t>
  </si>
  <si>
    <t xml:space="preserve">2. ★★★ NEMCHINOV V.S. — at peak of academic career</t>
  </si>
  <si>
    <t xml:space="preserve">Pre-CEMI Director, born 1894, age 68 in 1962. Член КПСС, академик, доктор экон.наук, 45 years научного стажа (since 1917!). Self-reported as zав.кафедрой матем.-экон.анализа Эконом.фак-та МГУ (полоклада, handwritten in List 4 over a typed 'нет'). When CEMI was created in 1963, he became zав.лабораторией under FEDORENKO. Dies 5.XI.1964 — one year after CEMI founding. Only TWO archival documents (д.19 and д.30 List_4 #1) capture him as a living CEMI/predecessor staff member.</t>
  </si>
  <si>
    <t xml:space="preserve">3. ★★★ FOUNDING-COHORT senior researchers (доктора наук)</t>
  </si>
  <si>
    <t xml:space="preserve">Three senior researchers with доктор наук степени at the lab in 1962:
  • НЕМЧИНОВ В.С. (1894) — академик, директор, 45 лет стажа
  • ВАЙНШТЕЙН А.Л. (1892) — доктор экон.наук, профессор, 26 лет научного стажа. Pre-revolutionary statistician, age 70.
  • ВИШНЕВ С.М. (1898) — доктор экон.наук, член КПСС, рук. аспирантов, 28 лет стажа. Continues at CEMI through 1985 (retires 31.XII.1985 per memory).
These three constitute the senior intellectual core of the institute.</t>
  </si>
  <si>
    <t xml:space="preserve">4. ★★ FOUNDING-COHORT kandidaty (5 researchers)</t>
  </si>
  <si>
    <t xml:space="preserve">Five кандидаты наук in 1962, mostly занимающих и.о. ст.н.с.:
  • ВОЛКОНСКИЙ В.А. (1932, к.ф.-м.н.) — math logic &amp; programming. Forward trail to 1987 главный научн.сотр.
  • ГОЛАНСКИЙ М.М. (1923, к.э.н.) — also зам.директора, signs List 1.
  • ИСАЕВ Б.Л. (1921, к.э.н.) — 11 лет стажа. Forward trail: signs List 1 of д.30 (1963), gets ст.н.с. title in 1965.
  • МИХАЛЕВСКИЙ Б.Н. (1930, к.э.н.) — 6 лет стажа. Forward trail: ст.н.с. title 1965.
  • ПУГАЧЕВ В.Ф. (1931, к.т.н., доцент) — math logic &amp; programming, 6 лет стажа.</t>
  </si>
  <si>
    <t xml:space="preserve">5. ★★★ ВАЙНШТЕЙН Albert L'vovich — pre-revolutionary statistician</t>
  </si>
  <si>
    <t xml:space="preserve">Born 1892, age 70 in 1962. Doctor of economics, professor. Reads/writes English, French, German fluently AND reads Italian. 26 years of научного стажа claimed (likely Soviet-era only — his pre-Revolution work and Stalin-era persecution affecting tally). Receives ст.науч.сотр. title from Президиум АН СССР 25.XII.1964 (per д.76 List_5 #1). One of the great Russian statisticians of the 20th century.</t>
  </si>
  <si>
    <t xml:space="preserve">6. ★★★ СУВОРОВ Б.П. — first known appearance</t>
  </si>
  <si>
    <t xml:space="preserve">1962 entry #30: born 1933 (age 29), м.н.с., 4 years стажа (so since 1958), кандидат в члены КПСС с 18.IV.1962. Forward trail across entire CEMI series:
  • д.30 (1963): full КПСС member from January 1963
  • д.76 (1965): promoted to и.о.зав.лаб. 16.XI.1964
  • 1982, 1985, 1986, 1987 packets: continues, becomes д.э.н., профессор
25-year career trajectory at CEMI/precursor traceable from this earliest record. SUVOROV is the longest-tenured CEMI scientist documented in the archival series.</t>
  </si>
  <si>
    <t xml:space="preserve">7. ★★ Pre-defenses cohort: 3 forthcoming defenses in 'июль 1962'</t>
  </si>
  <si>
    <t xml:space="preserve">Three researchers reported as 'представил к защите в июле 1962':
  • ДАДАЯН В.С. (entry 9)
  • КОССОВ В.В. (entry 15)
  • ЛЕЙБКИНД Ю.Р. (entry 17)
All three indeed defended кандидат экон.наук on 12.III.1963 (per д.30 List_1). The 8-month window between submission (July 1962) and defense (March 1963) reflects standard Soviet review process.</t>
  </si>
  <si>
    <t xml:space="preserve">8. ★★★ ЛЕЙБКИНД Ю.Р. + М.Ф. — both at lab</t>
  </si>
  <si>
    <t xml:space="preserve">Entry 17 ЛЕЙБКИНД Ю.Р. (b.1934, KPSS candidate from May 1962, 4 years стажа) AND entry 18 ЛЕЙБКИНД М.Ф. (b.1936, б/п, 2 years стажа). Different individuals (likely siblings). Yu.R. → defends kandidat 12.III.1963 + KPSS full member July 1963 (д.30). M.F. → departs 28.V.1963 'по сокращению штатов' (д.30 List_2 #1). Reflects different fates of related scientists during the lab→institute transition.</t>
  </si>
  <si>
    <t xml:space="preserve">9. ★★ ГАВРИЛЕЦ Ю.Н. — long forward trail</t>
  </si>
  <si>
    <t xml:space="preserve">Entry 5: б/п, 4 years стажа, м.н.с. Forward trail: 1965 List_6a #2 (МГУ совмест., канд.наук), 1987 List_6a #5 (зав.лабораторией, д.э.н., профессор, МГУ совмест.). 25-year career documented from earliest entry.</t>
  </si>
  <si>
    <t xml:space="preserve">10. ★★ МЕДНИЦКИЙ В.Г. — 25-year forward trail</t>
  </si>
  <si>
    <t xml:space="preserve">Entry 22: б/п, 2 years стажа, спец. 008 (математика — вычислит.). Forward trail: 1965 List_1 #88 (vedushchii engineer), 1985 List_4 #12 (defends doctoral 23.IV.1985), 1986/1987 List_6a (зав.лабораторией, д.э.н., профессор at МЭСИ). Full career arc visible: from мл.н.с. без степени to д.э.н., zав.лабораторией over 23 years.</t>
  </si>
  <si>
    <t xml:space="preserve">11. ★ КОССОВ В.В. and ДАДАЯН В.С. — earliest documentation</t>
  </si>
  <si>
    <t xml:space="preserve">Both kandidat candidates in 1962, both defend 12.III.1963 (д.30). KOSSOV's KPSS membership (full from January 1965 per д.76) — first appearance here as б/п. DADAYAN's continuing trail eventually to главный научн.сотр., д.э.н. by 1986/1987 — 25 years of CEMI service.</t>
  </si>
  <si>
    <t xml:space="preserve">12. ★★ БАРАНОВА С.П. — round-trip departure</t>
  </si>
  <si>
    <t xml:space="preserve">List_2 sole entry: departed 27.IX.1962 to СОПС Госэкономсовета СССР. Forward trail: returns to ЦЭМИ from СОПС on 16.IX.1963 (д.30 List_5 #27 — Wave 3 transfer). 12-month departure-and-return cycle. Likely not a true permanent exit but a temporary administrative arrangement during institutional reorganization.</t>
  </si>
  <si>
    <t xml:space="preserve">13. ★ The 10 vacancies + plans for growth</t>
  </si>
  <si>
    <t xml:space="preserve">Page 8 (financial letter to ПФО АН СССР) reports 10 vacancies as of 1.X.1962 with 1,200 руб/month salary fund. The lab was actively planning expansion. Comparing rosters: 32 staff at 1.XI.1962 (КОНТРОЛЬНЫЙ СПИСОК) vs 30 staff at 1.X.1962 (admin summary). Two new entries added in October-November 1962: МАРЧЕНКО Г.С. (#19, № 181 от 20.IX.1962) and БАРАНОВ Э.Ф. (#32, № 188 от 27.IX.1962).</t>
  </si>
  <si>
    <t xml:space="preserve">14. Specialty codes used by GUK АН СССР</t>
  </si>
  <si>
    <t xml:space="preserve">Form 10-НР used numeric specialty codes:
  • 304 = Математические методы в экономических исследованиях (most common — 19 of 32 entries)
  • 008 = Математика (вычислительная) — 3 entries
  • 007 = Математическая логика и программирование — 2 entries
  • 005 = Математические методы в экономике (variant?) — 1 entry
  • 009 = (Вычислительная) кибернетика — 1 entry
  • 137 = (Variant of 304) — 1 entry
  • 288 = История экономических учений — 1 entry (МИХАЙЛОВА Н.В., b.1909)
  • 302 = (Variant) — 1 entry (ВИШНЕВ С.М.)
Codes were replaced by ВАК specialty codes (e.g., 08.00.13) by mid-1980s.</t>
  </si>
  <si>
    <t xml:space="preserve">15. ★ Languages: 100% of researchers know foreign languages</t>
  </si>
  <si>
    <t xml:space="preserve">Every single researcher in the roster reports fluency or working knowledge of at least one foreign language (English most common). Several know 3-4 languages (ВАЙНШТЕЙН: en/fr/de fluent + Italian читает; ВИШНЕВ: en/de/fr free; ХДАНКО: en/fr free + Italian/Spanish читает). This level of linguistic capability reflects the institute's international research orientation and pre-revolutionary academic continuity (ВАЙНШТЕЙН b.1892, ВИШНЕВ b.1898).</t>
  </si>
  <si>
    <t xml:space="preserve">16. ★★ Historical context — Khrushchev era cybernetics revival</t>
  </si>
  <si>
    <t xml:space="preserve">1961-1962 was a period when Soviet 'mathematical economics and cybernetics' was being legitimized after Stalin-era denunciation. Lab establishment (around 1960-61) directly reflects КПСС decree to legitimize mathematical economic methods. Director НЕМЧИНОВ was the most prominent figure who had been pushing this agenda since the 1940s-50s. The lab was the first institutional anchor for this discipline in Soviet AS, before its elevation to ЦЭМИ in 1963.</t>
  </si>
  <si>
    <t xml:space="preserve">17. List_1, List_3 are EMPTY ('нет')</t>
  </si>
  <si>
    <t xml:space="preserve">List_1 (defenses): 'нет' typed in. Indeed no defenses in the 13-month reporting period 25.IX.1961—1.XI.1962. The cohort that submitted in July 1962 would defend in March 1963 (д.30 List_1). List_3 (inbound совмест): also 'нет'. The lab had no external researchers serving as co-affiliates. Only NEMCHINOV himself was outbound (List_4).</t>
  </si>
  <si>
    <t xml:space="preserve">18. ★ Lab's accounting was external (Институт экономики АН СССР)</t>
  </si>
  <si>
    <t xml:space="preserve">Per page 8 financial letter, 'Гл.Бухгалтер Института экономики АН СССР Ф.М.ФЕДОРОВ' co-signs financial reports. This indicates the lab was administratively a sub-entity of Институт экономики АН СССР for budget purposes. Consistent with д.30 (1963) Wave 2 showing 9 staff transferred from Институт экономики to ЦЭМИ on 1.IX.1963 — the natural separation upon ЦЭМИ's formal elevation.</t>
  </si>
  <si>
    <t xml:space="preserve">19. ★★ Form code is 10-НР, not 10-НПР</t>
  </si>
  <si>
    <t xml:space="preserve">1962 packet uses Form '10-НР' (without 'П'). By 1963 (д.30) the form is '10-НПР' (with П — for 'педагогических'). Suggests AS USSR standardized the form code between 1962 and 1963 to add explicit pedagogical-worker reporting. Form structure and list numbering both changed.</t>
  </si>
  <si>
    <t xml:space="preserve">20. List numbering DIFFERS from later packets</t>
  </si>
  <si>
    <t xml:space="preserve">1962: List 1 = defenses, List 2 = departures, List 3 = INBOUND совмест, List 4 = OUTBOUND совмест.
1963 (д.30): List 1 = defenses, List 2 = departures, List 4 = совмест (merged), List 5 = HIRES, List 5а = KPSS.
1965+ (д.76): List 1 = HIRES, List 2 = departures, List 3 = KPSS, List 4 = defenses, List 5 = titles, List 6/6a = совмест, List 7/7a = stazhers.
List numbering reformed twice (1962→1963→1965) before stabilizing.</t>
  </si>
  <si>
    <t xml:space="preserve">Cross-references — pre-CEMI roster figures and forward trails to 1963/1965/1985/1986/1987</t>
  </si>
  <si>
    <t xml:space="preserve">Tracks 1962 entities into later packets — up to 25-year forward trails.</t>
  </si>
  <si>
    <t xml:space="preserve">Entity</t>
  </si>
  <si>
    <t xml:space="preserve">1962 reference</t>
  </si>
  <si>
    <t xml:space="preserve">Born</t>
  </si>
  <si>
    <t xml:space="preserve">1962 status</t>
  </si>
  <si>
    <t xml:space="preserve">Forward trail (1963 → 1987)</t>
  </si>
  <si>
    <t xml:space="preserve">НЕМЧИНОВ Василий Сергеевич</t>
  </si>
  <si>
    <t xml:space="preserve">Director (signs all lists), Roster #26, List_4 #1</t>
  </si>
  <si>
    <t xml:space="preserve">1894</t>
  </si>
  <si>
    <t xml:space="preserve">★★★ Академик, директор лаборатории</t>
  </si>
  <si>
    <t xml:space="preserve">★★★ Becomes zав.лаб. под Federenko after CEMI founding 1963 (per д.30 List_4 #1). DIES 5.XI.1964 — only TWO documents (this + д.30) show him alive at CEMI/precursor.</t>
  </si>
  <si>
    <t xml:space="preserve">ФЕДОРЕНКО Николай Прокофьевич</t>
  </si>
  <si>
    <t xml:space="preserve">NOT IN PACKET</t>
  </si>
  <si>
    <t xml:space="preserve">1917</t>
  </si>
  <si>
    <t xml:space="preserve">Yet to join CEMI</t>
  </si>
  <si>
    <t xml:space="preserve">★★★ Becomes director of ЦЭМИ when it is founded May 1963 — replacing Nemchinov. Forward trail through entire series 1963-1985+.</t>
  </si>
  <si>
    <t xml:space="preserve">ВАЙНШТЕЙН Альберт Львович</t>
  </si>
  <si>
    <t xml:space="preserve">Roster #4</t>
  </si>
  <si>
    <t xml:space="preserve">1892</t>
  </si>
  <si>
    <t xml:space="preserve">★★★ Доктор экон.наук, профессор, б/п</t>
  </si>
  <si>
    <t xml:space="preserve">★ Forward: д.76 (1965) List_5 #1 — receives ст.науч.сотр. title from Президиум АН СССР 25.XII.1964 (statistics specialty). Pre-revolutionary intellectual continuity.</t>
  </si>
  <si>
    <t xml:space="preserve">ВИШНЕВ Сергей Михайлович</t>
  </si>
  <si>
    <t xml:space="preserve">Roster #3</t>
  </si>
  <si>
    <t xml:space="preserve">1898</t>
  </si>
  <si>
    <t xml:space="preserve">★★ Доктор экон.наук, член КПСС</t>
  </si>
  <si>
    <t xml:space="preserve">★ Forward: continues at CEMI; per memory of 1985 packet, retires 31.XII.1985 as ст.науч.сотр.-консультант, д.э.н. 23-year career trajectory. Pre-revolutionary born intellectual.</t>
  </si>
  <si>
    <t xml:space="preserve">ВОЛКОНСКИЙ Виктор Александрович</t>
  </si>
  <si>
    <t xml:space="preserve">Roster #1</t>
  </si>
  <si>
    <t xml:space="preserve">1932</t>
  </si>
  <si>
    <t xml:space="preserve">★ к.ф.-м.н., и.о.ст.н.с.</t>
  </si>
  <si>
    <t xml:space="preserve">★★ Forward: д.76 (1965) List_5 #2 — gets ст.науч.сотр. title 16.IV.1965 (math logic specialty). 1987 List_1 #32 — главный научн.сотр., д.э.н. (top tier reform reclassification). 25-year forward trail!</t>
  </si>
  <si>
    <t xml:space="preserve">ГОЛАНСКИЙ Марк Михайлович</t>
  </si>
  <si>
    <t xml:space="preserve">Signs List_1, Roster #7</t>
  </si>
  <si>
    <t xml:space="preserve">1923</t>
  </si>
  <si>
    <t xml:space="preserve">★ Зам.директора лаборатории, к.э.н.</t>
  </si>
  <si>
    <t xml:space="preserve">★ Forward: д.76 (1965) List_1 #33 — promoted to и.о.зав.лабор. 1.III.1965 (from ст.науч.сотрудник); d.76 List_5 #3 — ст.науч.сотр. title 25.XII.1964.</t>
  </si>
  <si>
    <t xml:space="preserve">ИСАЕВ Борис Леонидович</t>
  </si>
  <si>
    <t xml:space="preserve">Roster #13</t>
  </si>
  <si>
    <t xml:space="preserve">1921</t>
  </si>
  <si>
    <t xml:space="preserve">★ к.э.н., и.о.ст.н.с., 11 years стажа</t>
  </si>
  <si>
    <t xml:space="preserve">★ Forward: signs List_1 of д.30 (1963) as 'За учёного секретаря'. d.76 (1965) List_5 #4 — ст.науч.сотр. title 16.IV.1965 (statistics specialty). Demonstrates continuity of secretarial/leadership role.</t>
  </si>
  <si>
    <t xml:space="preserve">МИХАЛЕВСКИЙ Борис Натанович</t>
  </si>
  <si>
    <t xml:space="preserve">Roster #24</t>
  </si>
  <si>
    <t xml:space="preserve">1930</t>
  </si>
  <si>
    <t xml:space="preserve">★ к.э.н., и.о.ст.н.с., 6 years стажа</t>
  </si>
  <si>
    <t xml:space="preserve">★ Forward: d.76 (1965) List_5 #5 — ст.науч.сотр. title 16.IV.1965 (econ-math methods).</t>
  </si>
  <si>
    <t xml:space="preserve">СУВОРОВ Борис Павлович</t>
  </si>
  <si>
    <t xml:space="preserve">Roster #30</t>
  </si>
  <si>
    <t xml:space="preserve">1933</t>
  </si>
  <si>
    <t xml:space="preserve">★ Кандидат в члены КПСС с 18.IV.1962, м.н.с., 4 years стажа</t>
  </si>
  <si>
    <t xml:space="preserve">★★★ FORWARD TRAIL ACROSS ENTIRE SERIES (25 years): д.30 (1963) List_5а #1 (full КПСС January 1963), д.76 (1965) List_1 #117 (и.о.зав.лаб.), 1982, 1985, 1986, 1987 packets — continuously listed; becomes д.э.н., профессор. Longest documented CEMI career.</t>
  </si>
  <si>
    <t xml:space="preserve">ДАДАЯН Вадим Сергеевич</t>
  </si>
  <si>
    <t xml:space="preserve">Roster #9</t>
  </si>
  <si>
    <t xml:space="preserve">★ Submitted dissertation июль 1962</t>
  </si>
  <si>
    <t xml:space="preserve">★★ Forward: д.30 (1963) List_1 #1 — defends kandidat 12.III.1963; List_5а #3 — KPSS candidate January 1963. 1986 List_1 #48 — главный научн.сотр., д.э.н. (top tier reform). 25-year career trajectory.</t>
  </si>
  <si>
    <t xml:space="preserve">КОССОВ Владимир Викторович</t>
  </si>
  <si>
    <t xml:space="preserve">Roster #15</t>
  </si>
  <si>
    <t xml:space="preserve">1935</t>
  </si>
  <si>
    <t xml:space="preserve">★★ Forward: д.30 (1963) List_1 #2 — defends kandidat 12.III.1963. d.76 (1965) List_3 #2 — full КПСС member from January 1965. Future deputy chair of Госплан СССР.</t>
  </si>
  <si>
    <t xml:space="preserve">ЛЕЙБКИНД Юрий Романович</t>
  </si>
  <si>
    <t xml:space="preserve">Roster #17</t>
  </si>
  <si>
    <t xml:space="preserve">1934</t>
  </si>
  <si>
    <t xml:space="preserve">Канд. в члены КПСС с 15.V.1962</t>
  </si>
  <si>
    <t xml:space="preserve">★ Forward: д.30 (1963) List_1 #3 (defends kandidat 12.III.1963) + List_5а #2 (full КПСС member July 1963).</t>
  </si>
  <si>
    <t xml:space="preserve">ЛЕЙБКИНД М.Ф.</t>
  </si>
  <si>
    <t xml:space="preserve">Roster #18</t>
  </si>
  <si>
    <t xml:space="preserve">1936</t>
  </si>
  <si>
    <t xml:space="preserve">б/п, 2 years стажа</t>
  </si>
  <si>
    <t xml:space="preserve">★ Forward: д.30 (1963) List_2 #1 — DEPARTS 28.V.1963 'по сокращению штатов'. Different from Yu.R. (relative? sibling?). Departure during institute formation.</t>
  </si>
  <si>
    <t xml:space="preserve">ЛАРИОНОВА С.Т.</t>
  </si>
  <si>
    <t xml:space="preserve">Roster #16</t>
  </si>
  <si>
    <t xml:space="preserve">1938</t>
  </si>
  <si>
    <t xml:space="preserve">б/п, м.н.с.</t>
  </si>
  <si>
    <t xml:space="preserve">★ Forward: д.30 (1963) List_2 #2 — DEPARTS 8.V.1963 'по сокращению штатов'. Two researchers from this 1962 roster were cut during the lab→ЦЭМИ transition.</t>
  </si>
  <si>
    <t xml:space="preserve">МАХРОВ Николай Васильевич</t>
  </si>
  <si>
    <t xml:space="preserve">Roster #21</t>
  </si>
  <si>
    <t xml:space="preserve">★ Член КПСС, м.н.с., 1 year стажа</t>
  </si>
  <si>
    <t xml:space="preserve">★ Forward: д.76 (1965) List_1 #93 — promoted to и.о.ст.науч.сотр. on 19.V.1965 from и.о.мл.науч.сотр.</t>
  </si>
  <si>
    <t xml:space="preserve">МЕДНИЦКИЙ Виктор Григорьевич</t>
  </si>
  <si>
    <t xml:space="preserve">Roster #22</t>
  </si>
  <si>
    <t xml:space="preserve">★ б/п, м.н.с., 2 years стажа</t>
  </si>
  <si>
    <t xml:space="preserve">★★★ 25-year forward trail: 1965 (List_1 #88 vedushchii engineer), 1985 (List_4 #12 — defends doctoral 23.IV.1985), 1986/1987 (List_6a — zав.лаб., д.э.н., профессор at МЭСИ). Full career arc visible from мл.н.с. без степени to д.э.н. зав.лаб.</t>
  </si>
  <si>
    <t xml:space="preserve">ВОЛОШИН Николай Иванович</t>
  </si>
  <si>
    <t xml:space="preserve">Roster #2</t>
  </si>
  <si>
    <t xml:space="preserve">б/п, м.н.с., 2 years стажа</t>
  </si>
  <si>
    <t xml:space="preserve">★ Forward: д.30 (1963) List_5а #4 — KPSS candidate March 1963. d.76 (1965) List_1 #25 — promoted to и.о.ст.науч.сотр. 19.V.1965 (alongside ВЕРХОВСКИЙ Б.С.).</t>
  </si>
  <si>
    <t xml:space="preserve">БАРАНОВ Эдуард Филаретович</t>
  </si>
  <si>
    <t xml:space="preserve">Roster #32</t>
  </si>
  <si>
    <t xml:space="preserve">1939</t>
  </si>
  <si>
    <t xml:space="preserve">★ Newest staff member at snapshot — hired 27.IX.1962</t>
  </si>
  <si>
    <t xml:space="preserve">★★ Forward: d.76 (1965) — TRIPLE-list entity: List_3 #1 (КПСС cand. VII-1965), List_4 #1 (defends kandidat 28.VI.1965), List_6a #1 (МГУ совмест.). Triple cross-list — quintessential rapid Soviet academic career trajectory.</t>
  </si>
  <si>
    <t xml:space="preserve">БАРАНОВА С.П.</t>
  </si>
  <si>
    <t xml:space="preserve">List_2 #1</t>
  </si>
  <si>
    <t xml:space="preserve">—</t>
  </si>
  <si>
    <t xml:space="preserve">Departs 27.IX.1962 to СОПС</t>
  </si>
  <si>
    <t xml:space="preserve">★ Round-trip: returns 16.IX.1963 from СОПС to ЦЭМИ in Wave 3 (д.30 List_5 #27, with МИНЦ Л.Е.'s group). 12-month departure-and-return.</t>
  </si>
  <si>
    <t xml:space="preserve">ГАВРИЛЕЦ Юрий Николаевич</t>
  </si>
  <si>
    <t xml:space="preserve">Roster #5</t>
  </si>
  <si>
    <t xml:space="preserve">б/п, м.н.с., 4 years стажа</t>
  </si>
  <si>
    <t xml:space="preserve">★★ 25-year forward trail: 1965 List_6a #2 (МГУ совмест., канд.наук), 1987 List_6a #5 (зав.лабораторией, д.э.н., профессор).</t>
  </si>
  <si>
    <t xml:space="preserve">ГЛАДЫШЕВСКИЙ Алексей Игоревич</t>
  </si>
  <si>
    <t xml:space="preserve">Roster #6</t>
  </si>
  <si>
    <t xml:space="preserve">★ Forward: 1986 List_2 #44 — DEPARTS during ИЭП НТП reorganization 01.02.1986 as zав.лабораторией, к.э.н. 24-year career, then leaves with reorg wave.</t>
  </si>
  <si>
    <t xml:space="preserve">ЧЕРНЯК Юрий Игнатьевич</t>
  </si>
  <si>
    <t xml:space="preserve">Roster #31</t>
  </si>
  <si>
    <t xml:space="preserve">1931</t>
  </si>
  <si>
    <t xml:space="preserve">★ Член КПСС, м.н.с., 6 years стажа</t>
  </si>
  <si>
    <t xml:space="preserve">★ Forward: d.76 (1965) List_6a #7 — МГУ совмест. (и.о.зав.лабораторией, к.н.).</t>
  </si>
  <si>
    <t xml:space="preserve">ПИТЕЛИН А.К.</t>
  </si>
  <si>
    <t xml:space="preserve">Roster #27</t>
  </si>
  <si>
    <t xml:space="preserve">1937</t>
  </si>
  <si>
    <t xml:space="preserve">Член КПСС с 28.II.1962</t>
  </si>
  <si>
    <t xml:space="preserve">★ Forward: d.76 (1965) List_1 #103 — promoted to ст.инженер 16.XII.1964 (from и.о.мл.науч.сотрудника).</t>
  </si>
  <si>
    <t xml:space="preserve">МОДИН А.А.</t>
  </si>
  <si>
    <t xml:space="preserve">Roster #23</t>
  </si>
  <si>
    <t xml:space="preserve">Член КПСС с 28 мая 1962</t>
  </si>
  <si>
    <t xml:space="preserve">★ Forward: d.76 (1965) List_6a #4 — МГУ совмест. (и.о.зав.лабораторией, к.н.).</t>
  </si>
  <si>
    <t xml:space="preserve">ПУГАЧЕВ Владимир Феодосиевич</t>
  </si>
  <si>
    <t xml:space="preserve">Roster #28</t>
  </si>
  <si>
    <t xml:space="preserve">★ к.т.н., доцент, и.о.ст.н.с., 6 years стажа</t>
  </si>
  <si>
    <t xml:space="preserve">Forward: continues at CEMI through later packets (mathematical optimization specialist).</t>
  </si>
  <si>
    <t xml:space="preserve">МИХАЙЛОВА Н.В.</t>
  </si>
  <si>
    <t xml:space="preserve">Roster #25</t>
  </si>
  <si>
    <t xml:space="preserve">1909</t>
  </si>
  <si>
    <t xml:space="preserve">★★ Born 1909 (age 53), specialty: история эконом.учений (288)</t>
  </si>
  <si>
    <t xml:space="preserve">★ Atypical specialty for the lab — most others are 304 (math methods). Pre-revolutionary academic background.</t>
  </si>
  <si>
    <t xml:space="preserve">ВАЙНШТЕЙН + ВИШНЕВ + НЕМЧИНОВ — pre-revolution-born trio</t>
  </si>
  <si>
    <t xml:space="preserve">Roster #4, #3, #26</t>
  </si>
  <si>
    <t xml:space="preserve">1892/1898/1894</t>
  </si>
  <si>
    <t xml:space="preserve">★★★ Three doctors of science, all born 1890s, all educated before the Russian Revolution. Together they bridge 19th-century Russian/Imperial economics-statistics tradition into Soviet mathematical-economics. Their continued presence in 1962 reflects Khrushchev-era academic rehabilitation.</t>
  </si>
  <si>
    <t xml:space="preserve">СПИСОК № 1 — научных работников, защитивших диссертации</t>
  </si>
  <si>
    <t xml:space="preserve">0 entries · folio 25 · 25.IX.1961 — 1.XI.1962</t>
  </si>
  <si>
    <t xml:space="preserve">★ EMPTY: «нет» в документе. Никаких защит диссертаций за 13-месячный период.</t>
  </si>
  <si>
    <t xml:space="preserve">Ожидаемые защиты (per Roster #9, 15, 17): ДАДАЯН, КОССОВ, ЛЕЙБКИНД Ю.Р. — представлены к защите в июле 1962 г., защитятся 12.III.1963 г. (см. д.30 СПИСОК № 1)</t>
  </si>
  <si>
    <t xml:space="preserve">1 entry · folio 26 · 25.IX.1961 — 1.XI.1962</t>
  </si>
  <si>
    <t xml:space="preserve">№ пп</t>
  </si>
  <si>
    <t xml:space="preserve">Фамилия и инициалы</t>
  </si>
  <si>
    <t xml:space="preserve">Должность</t>
  </si>
  <si>
    <t xml:space="preserve">Дата и № приказа</t>
  </si>
  <si>
    <t xml:space="preserve">Причина увольнения</t>
  </si>
  <si>
    <t xml:space="preserve">Notes</t>
  </si>
  <si>
    <t xml:space="preserve">Младший научный сотрудник</t>
  </si>
  <si>
    <t xml:space="preserve">27.IX.62 г., приказ № 190</t>
  </si>
  <si>
    <t xml:space="preserve">Перевод в СОПС Госэкономсовета СССР</t>
  </si>
  <si>
    <t xml:space="preserve">★ ROUND-TRIP TRAIL: She returns to CEMI 16.IX.1963 from СОПС (д.30 List_5 #27, Wave 3) — one year departure-and-return cycle</t>
  </si>
  <si>
    <t xml:space="preserve">0 entries · folio 27 · Snapshot at 1.XI.1962</t>
  </si>
  <si>
    <t xml:space="preserve">★ EMPTY: «нет» в документе. Никаких внешних совместителей в лаборатории.</t>
  </si>
  <si>
    <t xml:space="preserve">1 entry · folio 28 · ★★★ Запись от руки — НЕМЧИНОВ В.С. в МГУ</t>
  </si>
  <si>
    <t xml:space="preserve">Должность в данном учреждении и учёная степень</t>
  </si>
  <si>
    <t xml:space="preserve">Учреждение и должность по совместительству</t>
  </si>
  <si>
    <t xml:space="preserve">Оплата</t>
  </si>
  <si>
    <t xml:space="preserve">Заметка</t>
  </si>
  <si>
    <t xml:space="preserve">НЕМЧИНОВ В.С.</t>
  </si>
  <si>
    <t xml:space="preserve">Директор Лаборатории, академик, д.э.н.</t>
  </si>
  <si>
    <t xml:space="preserve">Зав.кафедрой математического экономического анализа Эконом. фак-та МГУ</t>
  </si>
  <si>
    <t xml:space="preserve">Полоклада</t>
  </si>
  <si>
    <t xml:space="preserve">★★★ Запись была добавлена от руки поверх машинописного «нет». Director НЕМЧИНОВ отчитывается о собственном совместительстве.</t>
  </si>
  <si>
    <t xml:space="preserve">КОНТРОЛЬНЫЙ СПИСОК научных работников и специалистов на 1.XI.1962</t>
  </si>
  <si>
    <t xml:space="preserve">32 entries · folios 29–31 · ★★ FOUNDING SCIENTIFIC CADRE OF FUTURE ЦЭМИ</t>
  </si>
  <si>
    <t xml:space="preserve">Highlighting: green=director (Немчинов), pink=КПСС members, blue=doctorates, yellow=others with strong forward trails</t>
  </si>
  <si>
    <t xml:space="preserve">Год рожд.</t>
  </si>
  <si>
    <t xml:space="preserve">Партстатус</t>
  </si>
  <si>
    <t xml:space="preserve">Учёная степень</t>
  </si>
  <si>
    <t xml:space="preserve">Учёное звание / специальность</t>
  </si>
  <si>
    <t xml:space="preserve">Занимаемая должность + дата приказа</t>
  </si>
  <si>
    <t xml:space="preserve">Общий стаж</t>
  </si>
  <si>
    <t xml:space="preserve">Защита диссертации</t>
  </si>
  <si>
    <t xml:space="preserve">Иностранные языки</t>
  </si>
  <si>
    <t xml:space="preserve">ВОЛКОНСКИЙ В.А.</t>
  </si>
  <si>
    <t xml:space="preserve">б/п</t>
  </si>
  <si>
    <t xml:space="preserve">кандидат физико-математических наук</t>
  </si>
  <si>
    <t xml:space="preserve">(спец. 005) — Математические методы в экономике</t>
  </si>
  <si>
    <t xml:space="preserve">и.о. старшего научного сотрудника</t>
  </si>
  <si>
    <t xml:space="preserve">2 года</t>
  </si>
  <si>
    <t xml:space="preserve">английский, немецкий — читает и переводит со словарём</t>
  </si>
  <si>
    <t xml:space="preserve">ВОЛОШИН Н.И.</t>
  </si>
  <si>
    <t xml:space="preserve">(спец. 304) Математические методы в экономике</t>
  </si>
  <si>
    <t xml:space="preserve">младший научный сотрудник</t>
  </si>
  <si>
    <t xml:space="preserve">немецкий — читает и переводит со словарём</t>
  </si>
  <si>
    <t xml:space="preserve">ВИШНЕВ С.М.</t>
  </si>
  <si>
    <t xml:space="preserve">член КПСС</t>
  </si>
  <si>
    <t xml:space="preserve">доктор экономических наук</t>
  </si>
  <si>
    <t xml:space="preserve">(спец. 302) старший научный сотрудник, руководит. аспирантов</t>
  </si>
  <si>
    <t xml:space="preserve">старший научный сотрудник, № 2-1467, 10.IX.62</t>
  </si>
  <si>
    <t xml:space="preserve">28 лет</t>
  </si>
  <si>
    <t xml:space="preserve">английский, немецкий, французский (свободно)</t>
  </si>
  <si>
    <t xml:space="preserve">ВАЙНШТЕЙН А.Л.</t>
  </si>
  <si>
    <t xml:space="preserve">доктор экономических наук, профессор</t>
  </si>
  <si>
    <t xml:space="preserve">старший научный сотрудник, № 171, 5.X.62</t>
  </si>
  <si>
    <t xml:space="preserve">26 лет</t>
  </si>
  <si>
    <t xml:space="preserve">английский, французский, немецкий (свободно), на итальянском читает</t>
  </si>
  <si>
    <t xml:space="preserve">ГАВРИЛЕЦ Ю.Н.</t>
  </si>
  <si>
    <t xml:space="preserve">(спец. 008) — Математика</t>
  </si>
  <si>
    <t xml:space="preserve">4 года</t>
  </si>
  <si>
    <t xml:space="preserve">английский — читает и переводит со словарём</t>
  </si>
  <si>
    <t xml:space="preserve">ГЛАДЫШЕВСКИЙ А.И.</t>
  </si>
  <si>
    <t xml:space="preserve">английский, французский, немецкий</t>
  </si>
  <si>
    <t xml:space="preserve">ГОЛАНСКИЙ М.М.</t>
  </si>
  <si>
    <t xml:space="preserve">кандидат экономических наук</t>
  </si>
  <si>
    <t xml:space="preserve">6 лет</t>
  </si>
  <si>
    <t xml:space="preserve">английский (свободно)</t>
  </si>
  <si>
    <t xml:space="preserve">ЗЕЛЕНЕВСКАЯ-ГЕРАСИМОВА И.А.</t>
  </si>
  <si>
    <t xml:space="preserve">(спец. 008) Математика</t>
  </si>
  <si>
    <t xml:space="preserve">младший научный сотрудник, № 33, 9.III.1962</t>
  </si>
  <si>
    <t xml:space="preserve">1 год</t>
  </si>
  <si>
    <t xml:space="preserve">немецкий, английский — читает и переводит со словарём</t>
  </si>
  <si>
    <t xml:space="preserve">ДАДАЯН В.С.</t>
  </si>
  <si>
    <t xml:space="preserve">июль 1962</t>
  </si>
  <si>
    <t xml:space="preserve">ДЕТНЕВА Э.В.</t>
  </si>
  <si>
    <t xml:space="preserve">ХДАНКО А.В.</t>
  </si>
  <si>
    <t xml:space="preserve">английский, французский (свободно), итальянский, испанский — читает и переводит со словарём</t>
  </si>
  <si>
    <t xml:space="preserve">ИНН А.С.</t>
  </si>
  <si>
    <t xml:space="preserve">(спец. 137) Экономико-математическая группа</t>
  </si>
  <si>
    <t xml:space="preserve">ИСАЕВ Б.Л.</t>
  </si>
  <si>
    <t xml:space="preserve">11 лет</t>
  </si>
  <si>
    <t xml:space="preserve">английский, французский, немецкий (свободно)</t>
  </si>
  <si>
    <t xml:space="preserve">КОНСТАНТИНОВА Е.М.</t>
  </si>
  <si>
    <t xml:space="preserve">французский — читает</t>
  </si>
  <si>
    <t xml:space="preserve">КОССОВ В.В.</t>
  </si>
  <si>
    <t xml:space="preserve">английский — читает, переводит</t>
  </si>
  <si>
    <t xml:space="preserve">ЛЕЙБКИНД Ю.Р.</t>
  </si>
  <si>
    <t xml:space="preserve">кандидат в члены КПСС с 15.V.1962</t>
  </si>
  <si>
    <t xml:space="preserve">МАРЧЕНКО Г.С.</t>
  </si>
  <si>
    <t xml:space="preserve">младший научный сотрудник, № 181, 20.IX.1962</t>
  </si>
  <si>
    <t xml:space="preserve">ЛЕВКОВА Л.А.</t>
  </si>
  <si>
    <t xml:space="preserve">английский — со словарём</t>
  </si>
  <si>
    <t xml:space="preserve">МАХРОВ Н.В.</t>
  </si>
  <si>
    <t xml:space="preserve">МЕДНИЦКИЙ В.Г.</t>
  </si>
  <si>
    <t xml:space="preserve">(спец. 008) Математика — вычислительная математика</t>
  </si>
  <si>
    <t xml:space="preserve">член КПСС с 28 мая 1962</t>
  </si>
  <si>
    <t xml:space="preserve">МИХАЛЕВСКИЙ Б.Н.</t>
  </si>
  <si>
    <t xml:space="preserve">(спец. 288) История экономических учений</t>
  </si>
  <si>
    <t xml:space="preserve">5 лет</t>
  </si>
  <si>
    <t xml:space="preserve">французский — читает и переводит со словарём</t>
  </si>
  <si>
    <t xml:space="preserve">(спец. 304) академик АН СССР</t>
  </si>
  <si>
    <t xml:space="preserve">Директор Лаборатории</t>
  </si>
  <si>
    <t xml:space="preserve">45 лет</t>
  </si>
  <si>
    <t xml:space="preserve">английский — читает и переводит</t>
  </si>
  <si>
    <t xml:space="preserve">член КПСС с 28.II.1962</t>
  </si>
  <si>
    <t xml:space="preserve">(спец. 007) Математическая логика и программирование</t>
  </si>
  <si>
    <t xml:space="preserve">немецкий — читает и переводит</t>
  </si>
  <si>
    <t xml:space="preserve">ПУГАЧЕВ В.Ф.</t>
  </si>
  <si>
    <t xml:space="preserve">кандидат технических наук</t>
  </si>
  <si>
    <t xml:space="preserve">(спец. 007) Математическая логика и программирование, доцент</t>
  </si>
  <si>
    <t xml:space="preserve">РОЗОВА Р.В.</t>
  </si>
  <si>
    <t xml:space="preserve">СУВОРОВ Б.П.</t>
  </si>
  <si>
    <t xml:space="preserve">кандидат в члены КПСС с 18.IV.1962</t>
  </si>
  <si>
    <t xml:space="preserve">ЧЕРНЯК Ю.И.</t>
  </si>
  <si>
    <t xml:space="preserve">(спец. 009) Утвержд. кибернетика</t>
  </si>
  <si>
    <t xml:space="preserve">английский (свободно), французский, немецкий — со словарём</t>
  </si>
  <si>
    <t xml:space="preserve">БАРАНОВ Э.Ф.</t>
  </si>
  <si>
    <t xml:space="preserve">младший научный сотрудник, № 188, 27.IX.1962</t>
  </si>
  <si>
    <t xml:space="preserve">Сводка по составу лаборатории на 1.X.1962 (письмо вице-президенту АН СССР П.Н.ФЕДОСЕЕВУ)</t>
  </si>
  <si>
    <t xml:space="preserve">Регистрационный № 403/330-507 от 2 октября 1962 г. · folio 33</t>
  </si>
  <si>
    <t xml:space="preserve">Подписант: Директор Лаборатории академик В.С. НЕМЧИНОВ</t>
  </si>
  <si>
    <t xml:space="preserve">Категория</t>
  </si>
  <si>
    <t xml:space="preserve">Количество</t>
  </si>
  <si>
    <t xml:space="preserve">Кто именно (по ФИО)</t>
  </si>
  <si>
    <t xml:space="preserve">академик, доктор экон.наук</t>
  </si>
  <si>
    <t xml:space="preserve">Только В.С. Немчинов</t>
  </si>
  <si>
    <t xml:space="preserve">доктора наук</t>
  </si>
  <si>
    <t xml:space="preserve">ВАЙНШТЕЙН А.Л., ВИШНЕВ С.М.</t>
  </si>
  <si>
    <t xml:space="preserve">кандидаты наук</t>
  </si>
  <si>
    <t xml:space="preserve">ВОЛКОНСКИЙ В.А. (к.ф.-м.н.), ГОЛАНСКИЙ М.М., ИСАЕВ Б.Л., МИХАЛЕВСКИЙ Б.Н., ПУГАЧЕВ В.Ф. (к.т.н.)</t>
  </si>
  <si>
    <t xml:space="preserve">младшие научные сотрудники без степени</t>
  </si>
  <si>
    <t xml:space="preserve">большинство — выпускники МГУ, ЛГУ, etc., 1958-1961 гг.</t>
  </si>
  <si>
    <t xml:space="preserve">старшие лаборанты</t>
  </si>
  <si>
    <t xml:space="preserve">вспомогательный персонал</t>
  </si>
  <si>
    <t xml:space="preserve">лаборанты</t>
  </si>
  <si>
    <t xml:space="preserve">машинистка</t>
  </si>
  <si>
    <t xml:space="preserve">курьер</t>
  </si>
  <si>
    <t xml:space="preserve">уборщица</t>
  </si>
  <si>
    <t xml:space="preserve">ВСЕГО</t>
  </si>
  <si>
    <t xml:space="preserve">Финансовая справка лаборатории на 1.X.1962</t>
  </si>
  <si>
    <t xml:space="preserve">Письмо в Планово-финансовый отдел АН СССР · от 24.X.1962 · folio 32 · На запрос № 8-104 от 22.X.1962</t>
  </si>
  <si>
    <t xml:space="preserve">Подписанты: Зам.Директора Лаборатории В.М.ДОМНИКОВ + Гл.Бухгалтер Института экономики АН СССР Ф.М.ФЕДОРОВ</t>
  </si>
  <si>
    <t xml:space="preserve">Параметр</t>
  </si>
  <si>
    <t xml:space="preserve">Сумма (в тыс. рублей)</t>
  </si>
  <si>
    <t xml:space="preserve">Фактическое наличие персонала на 1.X.62 + месячный фонд заработной платы (по факт. выплачив. окладам)</t>
  </si>
  <si>
    <t xml:space="preserve">6,4 т.р.</t>
  </si>
  <si>
    <t xml:space="preserve">Количество вакансий на 1.X.62 (10 единиц) + их месячный фонд заработной платы</t>
  </si>
  <si>
    <t xml:space="preserve">1,2 т.р.</t>
  </si>
  <si>
    <t xml:space="preserve">Сумма депонентской задолженности на 1.X.62</t>
  </si>
  <si>
    <t xml:space="preserve">Сумма предполагаемой депонентской задолженности на 1.I.63</t>
  </si>
  <si>
    <t xml:space="preserve">Отпускные, выплаченные в III квартале в счёт IV квартала</t>
  </si>
  <si>
    <t xml:space="preserve">Отпускные, намечаемые к выплате в IV квартале в счёт I квартала 1963 г.</t>
  </si>
  <si>
    <t xml:space="preserve">Сумма заработной платы для почасовой оплаты преподавателей в IV кв.</t>
  </si>
  <si>
    <t xml:space="preserve">0,1 т.р.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</si>
</sst>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C8E6C9"/>
      </patternFill>
    </fill>
    <fill>
      <patternFill patternType="solid">
        <fgColor rgb="FFFFFFCC"/>
        <bgColor rgb="FFFFFF99"/>
      </patternFill>
    </fill>
    <fill>
      <patternFill patternType="solid">
        <fgColor rgb="FFC8E6C9"/>
        <bgColor rgb="FFDDDDDD"/>
      </patternFill>
    </fill>
    <fill>
      <patternFill patternType="solid">
        <fgColor rgb="FFE1F5FE"/>
        <bgColor rgb="FFCCFFFF"/>
      </patternFill>
    </fill>
    <fill>
      <patternFill patternType="solid">
        <fgColor rgb="FFFFE0E0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E0E0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F5FE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6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4" t="s">
        <v>6</v>
      </c>
    </row>
    <row r="9" customFormat="false" ht="15" hidden="false" customHeight="false" outlineLevel="0" collapsed="false">
      <c r="A9" s="5" t="s">
        <v>7</v>
      </c>
    </row>
    <row r="11" customFormat="false" ht="15" hidden="false" customHeight="false" outlineLevel="0" collapsed="false">
      <c r="A11" s="6" t="s">
        <v>8</v>
      </c>
      <c r="B11" s="6" t="s">
        <v>9</v>
      </c>
      <c r="C11" s="6" t="s">
        <v>10</v>
      </c>
      <c r="D11" s="6" t="s">
        <v>11</v>
      </c>
      <c r="E11" s="6" t="s">
        <v>12</v>
      </c>
    </row>
    <row r="12" customFormat="false" ht="31.5" hidden="false" customHeight="true" outlineLevel="0" collapsed="false">
      <c r="A12" s="7" t="s">
        <v>13</v>
      </c>
      <c r="B12" s="7" t="s">
        <v>14</v>
      </c>
      <c r="C12" s="7" t="s">
        <v>15</v>
      </c>
      <c r="D12" s="7" t="n">
        <v>0</v>
      </c>
      <c r="E12" s="7" t="s">
        <v>16</v>
      </c>
    </row>
    <row r="13" customFormat="false" ht="31.5" hidden="false" customHeight="true" outlineLevel="0" collapsed="false">
      <c r="A13" s="7" t="s">
        <v>17</v>
      </c>
      <c r="B13" s="7" t="s">
        <v>18</v>
      </c>
      <c r="C13" s="7" t="s">
        <v>19</v>
      </c>
      <c r="D13" s="7" t="n">
        <v>1</v>
      </c>
      <c r="E13" s="7" t="s">
        <v>20</v>
      </c>
    </row>
    <row r="14" customFormat="false" ht="31.5" hidden="false" customHeight="true" outlineLevel="0" collapsed="false">
      <c r="A14" s="7" t="s">
        <v>21</v>
      </c>
      <c r="B14" s="7" t="s">
        <v>22</v>
      </c>
      <c r="C14" s="7" t="s">
        <v>23</v>
      </c>
      <c r="D14" s="7" t="n">
        <v>0</v>
      </c>
      <c r="E14" s="7" t="s">
        <v>24</v>
      </c>
    </row>
    <row r="15" customFormat="false" ht="31.5" hidden="false" customHeight="true" outlineLevel="0" collapsed="false">
      <c r="A15" s="7" t="s">
        <v>25</v>
      </c>
      <c r="B15" s="7" t="s">
        <v>26</v>
      </c>
      <c r="C15" s="7" t="s">
        <v>27</v>
      </c>
      <c r="D15" s="7" t="n">
        <v>1</v>
      </c>
      <c r="E15" s="7" t="s">
        <v>28</v>
      </c>
    </row>
    <row r="16" customFormat="false" ht="31.5" hidden="false" customHeight="true" outlineLevel="0" collapsed="false">
      <c r="A16" s="7" t="s">
        <v>29</v>
      </c>
      <c r="B16" s="7" t="s">
        <v>30</v>
      </c>
      <c r="C16" s="7" t="s">
        <v>31</v>
      </c>
      <c r="D16" s="7" t="n">
        <v>32</v>
      </c>
      <c r="E16" s="7" t="s">
        <v>32</v>
      </c>
    </row>
    <row r="17" customFormat="false" ht="31.5" hidden="false" customHeight="true" outlineLevel="0" collapsed="false">
      <c r="A17" s="7" t="s">
        <v>33</v>
      </c>
      <c r="B17" s="7" t="s">
        <v>34</v>
      </c>
      <c r="C17" s="7" t="s">
        <v>35</v>
      </c>
      <c r="D17" s="7" t="n">
        <v>9</v>
      </c>
      <c r="E17" s="7" t="s">
        <v>36</v>
      </c>
    </row>
    <row r="18" customFormat="false" ht="31.5" hidden="false" customHeight="true" outlineLevel="0" collapsed="false">
      <c r="A18" s="7" t="s">
        <v>37</v>
      </c>
      <c r="B18" s="7" t="s">
        <v>38</v>
      </c>
      <c r="C18" s="7" t="s">
        <v>39</v>
      </c>
      <c r="D18" s="7" t="n">
        <v>7</v>
      </c>
      <c r="E18" s="7" t="s">
        <v>40</v>
      </c>
    </row>
    <row r="19" customFormat="false" ht="15" hidden="false" customHeight="false" outlineLevel="0" collapsed="false">
      <c r="A19" s="7" t="s">
        <v>41</v>
      </c>
      <c r="B19" s="7" t="s">
        <v>42</v>
      </c>
      <c r="C19" s="7"/>
      <c r="D19" s="7" t="n">
        <f aca="false">SUM(D12:D18)</f>
        <v>50</v>
      </c>
      <c r="E19" s="7"/>
    </row>
    <row r="21" customFormat="false" ht="15" hidden="false" customHeight="false" outlineLevel="0" collapsed="false">
      <c r="A21" s="5" t="s">
        <v>43</v>
      </c>
    </row>
    <row r="23" customFormat="false" ht="15" hidden="false" customHeight="false" outlineLevel="0" collapsed="false">
      <c r="A23" s="5" t="s">
        <v>44</v>
      </c>
    </row>
    <row r="24" customFormat="false" ht="113.4" hidden="false" customHeight="false" outlineLevel="0" collapsed="false">
      <c r="A24" s="7" t="s">
        <v>45</v>
      </c>
    </row>
    <row r="25" customFormat="false" ht="15" hidden="false" customHeight="false" outlineLevel="0" collapsed="false">
      <c r="A25" s="5" t="s">
        <v>46</v>
      </c>
    </row>
    <row r="26" customFormat="false" ht="124.6" hidden="false" customHeight="false" outlineLevel="0" collapsed="false">
      <c r="A26" s="7" t="s">
        <v>47</v>
      </c>
    </row>
    <row r="27" customFormat="false" ht="15" hidden="false" customHeight="false" outlineLevel="0" collapsed="false">
      <c r="A27" s="5" t="s">
        <v>48</v>
      </c>
    </row>
    <row r="28" customFormat="false" ht="147" hidden="false" customHeight="false" outlineLevel="0" collapsed="false">
      <c r="A28" s="7" t="s">
        <v>49</v>
      </c>
    </row>
    <row r="29" customFormat="false" ht="15" hidden="false" customHeight="false" outlineLevel="0" collapsed="false">
      <c r="A29" s="5" t="s">
        <v>50</v>
      </c>
    </row>
    <row r="30" customFormat="false" ht="158.2" hidden="false" customHeight="false" outlineLevel="0" collapsed="false">
      <c r="A30" s="7" t="s">
        <v>51</v>
      </c>
    </row>
    <row r="31" customFormat="false" ht="15" hidden="false" customHeight="false" outlineLevel="0" collapsed="false">
      <c r="A31" s="5" t="s">
        <v>52</v>
      </c>
    </row>
    <row r="32" customFormat="false" ht="102.2" hidden="false" customHeight="false" outlineLevel="0" collapsed="false">
      <c r="A32" s="7" t="s">
        <v>53</v>
      </c>
    </row>
    <row r="33" customFormat="false" ht="15" hidden="false" customHeight="false" outlineLevel="0" collapsed="false">
      <c r="A33" s="5" t="s">
        <v>54</v>
      </c>
    </row>
    <row r="34" customFormat="false" ht="158.2" hidden="false" customHeight="false" outlineLevel="0" collapsed="false">
      <c r="A34" s="7" t="s">
        <v>55</v>
      </c>
    </row>
    <row r="35" customFormat="false" ht="15" hidden="false" customHeight="false" outlineLevel="0" collapsed="false">
      <c r="A35" s="5" t="s">
        <v>56</v>
      </c>
    </row>
    <row r="36" customFormat="false" ht="113.4" hidden="false" customHeight="false" outlineLevel="0" collapsed="false">
      <c r="A36" s="7" t="s">
        <v>57</v>
      </c>
    </row>
    <row r="37" customFormat="false" ht="15" hidden="false" customHeight="false" outlineLevel="0" collapsed="false">
      <c r="A37" s="5" t="s">
        <v>58</v>
      </c>
    </row>
    <row r="38" customFormat="false" ht="102.2" hidden="false" customHeight="false" outlineLevel="0" collapsed="false">
      <c r="A38" s="7" t="s">
        <v>59</v>
      </c>
    </row>
    <row r="39" customFormat="false" ht="15" hidden="false" customHeight="false" outlineLevel="0" collapsed="false">
      <c r="A39" s="5" t="s">
        <v>60</v>
      </c>
    </row>
    <row r="40" customFormat="false" ht="57.45" hidden="false" customHeight="false" outlineLevel="0" collapsed="false">
      <c r="A40" s="7" t="s">
        <v>61</v>
      </c>
    </row>
    <row r="41" customFormat="false" ht="15" hidden="false" customHeight="false" outlineLevel="0" collapsed="false">
      <c r="A41" s="5" t="s">
        <v>62</v>
      </c>
    </row>
    <row r="42" customFormat="false" ht="91" hidden="false" customHeight="false" outlineLevel="0" collapsed="false">
      <c r="A42" s="7" t="s">
        <v>63</v>
      </c>
    </row>
    <row r="43" customFormat="false" ht="15" hidden="false" customHeight="false" outlineLevel="0" collapsed="false">
      <c r="A43" s="5" t="s">
        <v>64</v>
      </c>
    </row>
    <row r="44" customFormat="false" ht="68.65" hidden="false" customHeight="false" outlineLevel="0" collapsed="false">
      <c r="A44" s="7" t="s">
        <v>65</v>
      </c>
    </row>
    <row r="45" customFormat="false" ht="15" hidden="false" customHeight="false" outlineLevel="0" collapsed="false">
      <c r="A45" s="5" t="s">
        <v>66</v>
      </c>
    </row>
    <row r="46" customFormat="false" ht="79.85" hidden="false" customHeight="false" outlineLevel="0" collapsed="false">
      <c r="A46" s="7" t="s">
        <v>67</v>
      </c>
    </row>
    <row r="47" customFormat="false" ht="15" hidden="false" customHeight="false" outlineLevel="0" collapsed="false">
      <c r="A47" s="5" t="s">
        <v>68</v>
      </c>
    </row>
    <row r="48" customFormat="false" ht="113.4" hidden="false" customHeight="false" outlineLevel="0" collapsed="false">
      <c r="A48" s="7" t="s">
        <v>69</v>
      </c>
    </row>
    <row r="49" customFormat="false" ht="15" hidden="false" customHeight="false" outlineLevel="0" collapsed="false">
      <c r="A49" s="5" t="s">
        <v>70</v>
      </c>
    </row>
    <row r="50" customFormat="false" ht="202.95" hidden="false" customHeight="false" outlineLevel="0" collapsed="false">
      <c r="A50" s="7" t="s">
        <v>71</v>
      </c>
    </row>
    <row r="51" customFormat="false" ht="15" hidden="false" customHeight="false" outlineLevel="0" collapsed="false">
      <c r="A51" s="5" t="s">
        <v>72</v>
      </c>
    </row>
    <row r="52" customFormat="false" ht="124.6" hidden="false" customHeight="false" outlineLevel="0" collapsed="false">
      <c r="A52" s="7" t="s">
        <v>73</v>
      </c>
    </row>
    <row r="53" customFormat="false" ht="15" hidden="false" customHeight="false" outlineLevel="0" collapsed="false">
      <c r="A53" s="5" t="s">
        <v>74</v>
      </c>
    </row>
    <row r="54" customFormat="false" ht="113.4" hidden="false" customHeight="false" outlineLevel="0" collapsed="false">
      <c r="A54" s="7" t="s">
        <v>75</v>
      </c>
    </row>
    <row r="55" customFormat="false" ht="15" hidden="false" customHeight="false" outlineLevel="0" collapsed="false">
      <c r="A55" s="5" t="s">
        <v>76</v>
      </c>
    </row>
    <row r="56" customFormat="false" ht="91" hidden="false" customHeight="false" outlineLevel="0" collapsed="false">
      <c r="A56" s="7" t="s">
        <v>77</v>
      </c>
    </row>
    <row r="57" customFormat="false" ht="15" hidden="false" customHeight="false" outlineLevel="0" collapsed="false">
      <c r="A57" s="5" t="s">
        <v>78</v>
      </c>
    </row>
    <row r="58" customFormat="false" ht="113.4" hidden="false" customHeight="false" outlineLevel="0" collapsed="false">
      <c r="A58" s="7" t="s">
        <v>79</v>
      </c>
    </row>
    <row r="59" customFormat="false" ht="15" hidden="false" customHeight="false" outlineLevel="0" collapsed="false">
      <c r="A59" s="5" t="s">
        <v>80</v>
      </c>
    </row>
    <row r="60" customFormat="false" ht="79.85" hidden="false" customHeight="false" outlineLevel="0" collapsed="false">
      <c r="A60" s="7" t="s">
        <v>81</v>
      </c>
    </row>
    <row r="61" customFormat="false" ht="15" hidden="false" customHeight="false" outlineLevel="0" collapsed="false">
      <c r="A61" s="5" t="s">
        <v>82</v>
      </c>
    </row>
    <row r="62" customFormat="false" ht="135.8" hidden="false" customHeight="false" outlineLevel="0" collapsed="false">
      <c r="A62" s="7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6" t="s">
        <v>86</v>
      </c>
      <c r="B4" s="6" t="s">
        <v>87</v>
      </c>
      <c r="C4" s="6" t="s">
        <v>88</v>
      </c>
      <c r="D4" s="6" t="s">
        <v>89</v>
      </c>
      <c r="E4" s="6" t="s">
        <v>90</v>
      </c>
    </row>
    <row r="5" customFormat="false" ht="37.5" hidden="false" customHeight="true" outlineLevel="0" collapsed="false">
      <c r="A5" s="7" t="s">
        <v>91</v>
      </c>
      <c r="B5" s="7" t="s">
        <v>92</v>
      </c>
      <c r="C5" s="7" t="s">
        <v>93</v>
      </c>
      <c r="D5" s="7" t="s">
        <v>94</v>
      </c>
      <c r="E5" s="7" t="s">
        <v>95</v>
      </c>
    </row>
    <row r="6" customFormat="false" ht="37.5" hidden="false" customHeight="true" outlineLevel="0" collapsed="false">
      <c r="A6" s="7" t="s">
        <v>96</v>
      </c>
      <c r="B6" s="7" t="s">
        <v>97</v>
      </c>
      <c r="C6" s="7" t="s">
        <v>98</v>
      </c>
      <c r="D6" s="7" t="s">
        <v>99</v>
      </c>
      <c r="E6" s="7" t="s">
        <v>100</v>
      </c>
    </row>
    <row r="7" customFormat="false" ht="37.5" hidden="false" customHeight="true" outlineLevel="0" collapsed="false">
      <c r="A7" s="7" t="s">
        <v>101</v>
      </c>
      <c r="B7" s="7" t="s">
        <v>102</v>
      </c>
      <c r="C7" s="7" t="s">
        <v>103</v>
      </c>
      <c r="D7" s="7" t="s">
        <v>104</v>
      </c>
      <c r="E7" s="7" t="s">
        <v>105</v>
      </c>
    </row>
    <row r="8" customFormat="false" ht="37.5" hidden="false" customHeight="true" outlineLevel="0" collapsed="false">
      <c r="A8" s="7" t="s">
        <v>106</v>
      </c>
      <c r="B8" s="7" t="s">
        <v>107</v>
      </c>
      <c r="C8" s="7" t="s">
        <v>108</v>
      </c>
      <c r="D8" s="7" t="s">
        <v>109</v>
      </c>
      <c r="E8" s="7" t="s">
        <v>110</v>
      </c>
    </row>
    <row r="9" customFormat="false" ht="37.5" hidden="false" customHeight="true" outlineLevel="0" collapsed="false">
      <c r="A9" s="7" t="s">
        <v>111</v>
      </c>
      <c r="B9" s="7" t="s">
        <v>112</v>
      </c>
      <c r="C9" s="7" t="s">
        <v>113</v>
      </c>
      <c r="D9" s="7" t="s">
        <v>114</v>
      </c>
      <c r="E9" s="7" t="s">
        <v>115</v>
      </c>
    </row>
    <row r="10" customFormat="false" ht="37.5" hidden="false" customHeight="true" outlineLevel="0" collapsed="false">
      <c r="A10" s="7" t="s">
        <v>116</v>
      </c>
      <c r="B10" s="7" t="s">
        <v>117</v>
      </c>
      <c r="C10" s="7" t="s">
        <v>118</v>
      </c>
      <c r="D10" s="7" t="s">
        <v>119</v>
      </c>
      <c r="E10" s="7" t="s">
        <v>120</v>
      </c>
    </row>
    <row r="11" customFormat="false" ht="37.5" hidden="false" customHeight="true" outlineLevel="0" collapsed="false">
      <c r="A11" s="7" t="s">
        <v>121</v>
      </c>
      <c r="B11" s="7" t="s">
        <v>122</v>
      </c>
      <c r="C11" s="7" t="s">
        <v>123</v>
      </c>
      <c r="D11" s="7" t="s">
        <v>124</v>
      </c>
      <c r="E11" s="7" t="s">
        <v>125</v>
      </c>
    </row>
    <row r="12" customFormat="false" ht="37.5" hidden="false" customHeight="true" outlineLevel="0" collapsed="false">
      <c r="A12" s="7" t="s">
        <v>126</v>
      </c>
      <c r="B12" s="7" t="s">
        <v>127</v>
      </c>
      <c r="C12" s="7" t="s">
        <v>128</v>
      </c>
      <c r="D12" s="7" t="s">
        <v>129</v>
      </c>
      <c r="E12" s="7" t="s">
        <v>130</v>
      </c>
    </row>
    <row r="13" customFormat="false" ht="37.5" hidden="false" customHeight="true" outlineLevel="0" collapsed="false">
      <c r="A13" s="7" t="s">
        <v>131</v>
      </c>
      <c r="B13" s="7" t="s">
        <v>132</v>
      </c>
      <c r="C13" s="7" t="s">
        <v>133</v>
      </c>
      <c r="D13" s="7" t="s">
        <v>134</v>
      </c>
      <c r="E13" s="7" t="s">
        <v>135</v>
      </c>
    </row>
    <row r="14" customFormat="false" ht="37.5" hidden="false" customHeight="true" outlineLevel="0" collapsed="false">
      <c r="A14" s="7" t="s">
        <v>136</v>
      </c>
      <c r="B14" s="7" t="s">
        <v>137</v>
      </c>
      <c r="C14" s="7" t="s">
        <v>133</v>
      </c>
      <c r="D14" s="7" t="s">
        <v>138</v>
      </c>
      <c r="E14" s="7" t="s">
        <v>139</v>
      </c>
    </row>
    <row r="15" customFormat="false" ht="37.5" hidden="false" customHeight="true" outlineLevel="0" collapsed="false">
      <c r="A15" s="7" t="s">
        <v>140</v>
      </c>
      <c r="B15" s="7" t="s">
        <v>141</v>
      </c>
      <c r="C15" s="7" t="s">
        <v>142</v>
      </c>
      <c r="D15" s="7" t="s">
        <v>138</v>
      </c>
      <c r="E15" s="7" t="s">
        <v>143</v>
      </c>
    </row>
    <row r="16" customFormat="false" ht="37.5" hidden="false" customHeight="true" outlineLevel="0" collapsed="false">
      <c r="A16" s="7" t="s">
        <v>144</v>
      </c>
      <c r="B16" s="7" t="s">
        <v>145</v>
      </c>
      <c r="C16" s="7" t="s">
        <v>146</v>
      </c>
      <c r="D16" s="7" t="s">
        <v>147</v>
      </c>
      <c r="E16" s="7" t="s">
        <v>148</v>
      </c>
    </row>
    <row r="17" customFormat="false" ht="37.5" hidden="false" customHeight="true" outlineLevel="0" collapsed="false">
      <c r="A17" s="7" t="s">
        <v>149</v>
      </c>
      <c r="B17" s="7" t="s">
        <v>150</v>
      </c>
      <c r="C17" s="7" t="s">
        <v>151</v>
      </c>
      <c r="D17" s="7" t="s">
        <v>152</v>
      </c>
      <c r="E17" s="7" t="s">
        <v>153</v>
      </c>
    </row>
    <row r="18" customFormat="false" ht="37.5" hidden="false" customHeight="true" outlineLevel="0" collapsed="false">
      <c r="A18" s="7" t="s">
        <v>154</v>
      </c>
      <c r="B18" s="7" t="s">
        <v>155</v>
      </c>
      <c r="C18" s="7" t="s">
        <v>156</v>
      </c>
      <c r="D18" s="7" t="s">
        <v>157</v>
      </c>
      <c r="E18" s="7" t="s">
        <v>158</v>
      </c>
    </row>
    <row r="19" customFormat="false" ht="37.5" hidden="false" customHeight="true" outlineLevel="0" collapsed="false">
      <c r="A19" s="7" t="s">
        <v>159</v>
      </c>
      <c r="B19" s="7" t="s">
        <v>160</v>
      </c>
      <c r="C19" s="7" t="s">
        <v>113</v>
      </c>
      <c r="D19" s="7" t="s">
        <v>161</v>
      </c>
      <c r="E19" s="7" t="s">
        <v>162</v>
      </c>
    </row>
    <row r="20" customFormat="false" ht="37.5" hidden="false" customHeight="true" outlineLevel="0" collapsed="false">
      <c r="A20" s="7" t="s">
        <v>163</v>
      </c>
      <c r="B20" s="7" t="s">
        <v>164</v>
      </c>
      <c r="C20" s="7" t="s">
        <v>151</v>
      </c>
      <c r="D20" s="7" t="s">
        <v>165</v>
      </c>
      <c r="E20" s="7" t="s">
        <v>166</v>
      </c>
    </row>
    <row r="21" customFormat="false" ht="37.5" hidden="false" customHeight="true" outlineLevel="0" collapsed="false">
      <c r="A21" s="7" t="s">
        <v>167</v>
      </c>
      <c r="B21" s="7" t="s">
        <v>168</v>
      </c>
      <c r="C21" s="7" t="s">
        <v>142</v>
      </c>
      <c r="D21" s="7" t="s">
        <v>169</v>
      </c>
      <c r="E21" s="7" t="s">
        <v>170</v>
      </c>
    </row>
    <row r="22" customFormat="false" ht="37.5" hidden="false" customHeight="true" outlineLevel="0" collapsed="false">
      <c r="A22" s="7" t="s">
        <v>171</v>
      </c>
      <c r="B22" s="7" t="s">
        <v>172</v>
      </c>
      <c r="C22" s="7" t="s">
        <v>173</v>
      </c>
      <c r="D22" s="7" t="s">
        <v>174</v>
      </c>
      <c r="E22" s="7" t="s">
        <v>175</v>
      </c>
    </row>
    <row r="23" customFormat="false" ht="37.5" hidden="false" customHeight="true" outlineLevel="0" collapsed="false">
      <c r="A23" s="7" t="s">
        <v>176</v>
      </c>
      <c r="B23" s="7" t="s">
        <v>177</v>
      </c>
      <c r="C23" s="7" t="s">
        <v>178</v>
      </c>
      <c r="D23" s="7" t="s">
        <v>179</v>
      </c>
      <c r="E23" s="7" t="s">
        <v>180</v>
      </c>
    </row>
    <row r="24" customFormat="false" ht="37.5" hidden="false" customHeight="true" outlineLevel="0" collapsed="false">
      <c r="A24" s="7" t="s">
        <v>181</v>
      </c>
      <c r="B24" s="7" t="s">
        <v>182</v>
      </c>
      <c r="C24" s="7" t="s">
        <v>146</v>
      </c>
      <c r="D24" s="7" t="s">
        <v>183</v>
      </c>
      <c r="E24" s="7" t="s">
        <v>184</v>
      </c>
    </row>
    <row r="25" customFormat="false" ht="37.5" hidden="false" customHeight="true" outlineLevel="0" collapsed="false">
      <c r="A25" s="7" t="s">
        <v>185</v>
      </c>
      <c r="B25" s="7" t="s">
        <v>186</v>
      </c>
      <c r="C25" s="7" t="s">
        <v>146</v>
      </c>
      <c r="D25" s="7" t="s">
        <v>157</v>
      </c>
      <c r="E25" s="7" t="s">
        <v>187</v>
      </c>
    </row>
    <row r="26" customFormat="false" ht="37.5" hidden="false" customHeight="true" outlineLevel="0" collapsed="false">
      <c r="A26" s="7" t="s">
        <v>188</v>
      </c>
      <c r="B26" s="7" t="s">
        <v>189</v>
      </c>
      <c r="C26" s="7" t="s">
        <v>190</v>
      </c>
      <c r="D26" s="7" t="s">
        <v>191</v>
      </c>
      <c r="E26" s="7" t="s">
        <v>192</v>
      </c>
    </row>
    <row r="27" customFormat="false" ht="37.5" hidden="false" customHeight="true" outlineLevel="0" collapsed="false">
      <c r="A27" s="7" t="s">
        <v>193</v>
      </c>
      <c r="B27" s="7" t="s">
        <v>194</v>
      </c>
      <c r="C27" s="7" t="s">
        <v>195</v>
      </c>
      <c r="D27" s="7" t="s">
        <v>196</v>
      </c>
      <c r="E27" s="7" t="s">
        <v>197</v>
      </c>
    </row>
    <row r="28" customFormat="false" ht="37.5" hidden="false" customHeight="true" outlineLevel="0" collapsed="false">
      <c r="A28" s="7" t="s">
        <v>198</v>
      </c>
      <c r="B28" s="7" t="s">
        <v>199</v>
      </c>
      <c r="C28" s="7" t="s">
        <v>142</v>
      </c>
      <c r="D28" s="7" t="s">
        <v>200</v>
      </c>
      <c r="E28" s="7" t="s">
        <v>201</v>
      </c>
    </row>
    <row r="29" customFormat="false" ht="37.5" hidden="false" customHeight="true" outlineLevel="0" collapsed="false">
      <c r="A29" s="7" t="s">
        <v>202</v>
      </c>
      <c r="B29" s="7" t="s">
        <v>203</v>
      </c>
      <c r="C29" s="7" t="s">
        <v>190</v>
      </c>
      <c r="D29" s="7" t="s">
        <v>204</v>
      </c>
      <c r="E29" s="7" t="s">
        <v>205</v>
      </c>
    </row>
    <row r="30" customFormat="false" ht="37.5" hidden="false" customHeight="true" outlineLevel="0" collapsed="false">
      <c r="A30" s="7" t="s">
        <v>206</v>
      </c>
      <c r="B30" s="7" t="s">
        <v>207</v>
      </c>
      <c r="C30" s="7" t="s">
        <v>208</v>
      </c>
      <c r="D30" s="7" t="s">
        <v>209</v>
      </c>
      <c r="E30" s="7" t="s">
        <v>210</v>
      </c>
    </row>
    <row r="31" customFormat="false" ht="37.5" hidden="false" customHeight="true" outlineLevel="0" collapsed="false">
      <c r="A31" s="7" t="s">
        <v>211</v>
      </c>
      <c r="B31" s="7" t="s">
        <v>212</v>
      </c>
      <c r="C31" s="7" t="s">
        <v>213</v>
      </c>
      <c r="D31" s="7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15" hidden="false" customHeight="false" outlineLevel="0" collapsed="false">
      <c r="A4" s="8" t="s">
        <v>217</v>
      </c>
    </row>
    <row r="5" customFormat="false" ht="15" hidden="false" customHeight="false" outlineLevel="0" collapsed="false">
      <c r="A5" s="2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219</v>
      </c>
    </row>
    <row r="4" customFormat="false" ht="36" hidden="false" customHeight="true" outlineLevel="0" collapsed="false">
      <c r="A4" s="9" t="s">
        <v>220</v>
      </c>
      <c r="B4" s="9" t="s">
        <v>221</v>
      </c>
      <c r="C4" s="9" t="s">
        <v>222</v>
      </c>
      <c r="D4" s="9" t="s">
        <v>223</v>
      </c>
      <c r="E4" s="9" t="s">
        <v>224</v>
      </c>
      <c r="F4" s="9" t="s">
        <v>225</v>
      </c>
    </row>
    <row r="5" customFormat="false" ht="23.85" hidden="false" customHeight="false" outlineLevel="0" collapsed="false">
      <c r="A5" s="10" t="n">
        <v>1</v>
      </c>
      <c r="B5" s="10" t="s">
        <v>176</v>
      </c>
      <c r="C5" s="10" t="s">
        <v>226</v>
      </c>
      <c r="D5" s="10" t="s">
        <v>227</v>
      </c>
      <c r="E5" s="10" t="s">
        <v>228</v>
      </c>
      <c r="F5" s="10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230</v>
      </c>
    </row>
    <row r="4" customFormat="false" ht="15" hidden="false" customHeight="false" outlineLevel="0" collapsed="false">
      <c r="A4" s="8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232</v>
      </c>
    </row>
    <row r="4" customFormat="false" ht="36" hidden="false" customHeight="true" outlineLevel="0" collapsed="false">
      <c r="A4" s="9" t="s">
        <v>220</v>
      </c>
      <c r="B4" s="9" t="s">
        <v>221</v>
      </c>
      <c r="C4" s="9" t="s">
        <v>233</v>
      </c>
      <c r="D4" s="9" t="s">
        <v>234</v>
      </c>
      <c r="E4" s="9" t="s">
        <v>235</v>
      </c>
      <c r="F4" s="9" t="s">
        <v>236</v>
      </c>
    </row>
    <row r="5" customFormat="false" ht="49.5" hidden="false" customHeight="true" outlineLevel="0" collapsed="false">
      <c r="A5" s="11" t="n">
        <v>1</v>
      </c>
      <c r="B5" s="11" t="s">
        <v>237</v>
      </c>
      <c r="C5" s="11" t="s">
        <v>238</v>
      </c>
      <c r="D5" s="11" t="s">
        <v>239</v>
      </c>
      <c r="E5" s="11" t="s">
        <v>240</v>
      </c>
      <c r="F5" s="11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5" min="4" style="0" width="22"/>
    <col collapsed="false" customWidth="true" hidden="false" outlineLevel="0" max="7" min="6" style="0" width="3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3" customFormat="false" ht="15" hidden="false" customHeight="false" outlineLevel="0" collapsed="false">
      <c r="A3" s="2" t="s">
        <v>244</v>
      </c>
    </row>
    <row r="5" customFormat="false" ht="36" hidden="false" customHeight="true" outlineLevel="0" collapsed="false">
      <c r="A5" s="9" t="s">
        <v>220</v>
      </c>
      <c r="B5" s="9" t="s">
        <v>221</v>
      </c>
      <c r="C5" s="9" t="s">
        <v>245</v>
      </c>
      <c r="D5" s="9" t="s">
        <v>246</v>
      </c>
      <c r="E5" s="9" t="s">
        <v>247</v>
      </c>
      <c r="F5" s="9" t="s">
        <v>248</v>
      </c>
      <c r="G5" s="9" t="s">
        <v>249</v>
      </c>
      <c r="H5" s="9" t="s">
        <v>250</v>
      </c>
      <c r="I5" s="9" t="s">
        <v>251</v>
      </c>
      <c r="J5" s="9" t="s">
        <v>252</v>
      </c>
    </row>
    <row r="6" customFormat="false" ht="23.85" hidden="false" customHeight="false" outlineLevel="0" collapsed="false">
      <c r="A6" s="10" t="n">
        <v>1</v>
      </c>
      <c r="B6" s="10" t="s">
        <v>253</v>
      </c>
      <c r="C6" s="10" t="n">
        <v>1932</v>
      </c>
      <c r="D6" s="10" t="s">
        <v>254</v>
      </c>
      <c r="E6" s="10" t="s">
        <v>255</v>
      </c>
      <c r="F6" s="10" t="s">
        <v>256</v>
      </c>
      <c r="G6" s="10" t="s">
        <v>257</v>
      </c>
      <c r="H6" s="10" t="s">
        <v>258</v>
      </c>
      <c r="I6" s="10" t="s">
        <v>178</v>
      </c>
      <c r="J6" s="10" t="s">
        <v>259</v>
      </c>
    </row>
    <row r="7" customFormat="false" ht="23.85" hidden="false" customHeight="false" outlineLevel="0" collapsed="false">
      <c r="A7" s="10" t="n">
        <v>2</v>
      </c>
      <c r="B7" s="10" t="s">
        <v>260</v>
      </c>
      <c r="C7" s="10" t="n">
        <v>1935</v>
      </c>
      <c r="D7" s="10" t="s">
        <v>254</v>
      </c>
      <c r="E7" s="10" t="s">
        <v>178</v>
      </c>
      <c r="F7" s="10" t="s">
        <v>261</v>
      </c>
      <c r="G7" s="10" t="s">
        <v>262</v>
      </c>
      <c r="H7" s="10" t="s">
        <v>258</v>
      </c>
      <c r="I7" s="10" t="s">
        <v>178</v>
      </c>
      <c r="J7" s="10" t="s">
        <v>263</v>
      </c>
    </row>
    <row r="8" customFormat="false" ht="23.85" hidden="false" customHeight="false" outlineLevel="0" collapsed="false">
      <c r="A8" s="12" t="n">
        <v>3</v>
      </c>
      <c r="B8" s="12" t="s">
        <v>264</v>
      </c>
      <c r="C8" s="12" t="n">
        <v>1898</v>
      </c>
      <c r="D8" s="12" t="s">
        <v>265</v>
      </c>
      <c r="E8" s="12" t="s">
        <v>266</v>
      </c>
      <c r="F8" s="12" t="s">
        <v>267</v>
      </c>
      <c r="G8" s="12" t="s">
        <v>268</v>
      </c>
      <c r="H8" s="12" t="s">
        <v>269</v>
      </c>
      <c r="I8" s="12" t="s">
        <v>178</v>
      </c>
      <c r="J8" s="12" t="s">
        <v>270</v>
      </c>
    </row>
    <row r="9" customFormat="false" ht="23.85" hidden="false" customHeight="false" outlineLevel="0" collapsed="false">
      <c r="A9" s="12" t="n">
        <v>4</v>
      </c>
      <c r="B9" s="12" t="s">
        <v>271</v>
      </c>
      <c r="C9" s="12" t="n">
        <v>1892</v>
      </c>
      <c r="D9" s="12" t="s">
        <v>254</v>
      </c>
      <c r="E9" s="12" t="s">
        <v>272</v>
      </c>
      <c r="F9" s="12" t="s">
        <v>261</v>
      </c>
      <c r="G9" s="12" t="s">
        <v>273</v>
      </c>
      <c r="H9" s="12" t="s">
        <v>274</v>
      </c>
      <c r="I9" s="12" t="s">
        <v>178</v>
      </c>
      <c r="J9" s="12" t="s">
        <v>275</v>
      </c>
    </row>
    <row r="10" customFormat="false" ht="23.85" hidden="false" customHeight="false" outlineLevel="0" collapsed="false">
      <c r="A10" s="10" t="n">
        <v>5</v>
      </c>
      <c r="B10" s="10" t="s">
        <v>276</v>
      </c>
      <c r="C10" s="10" t="n">
        <v>1934</v>
      </c>
      <c r="D10" s="10" t="s">
        <v>254</v>
      </c>
      <c r="E10" s="10" t="s">
        <v>178</v>
      </c>
      <c r="F10" s="10" t="s">
        <v>277</v>
      </c>
      <c r="G10" s="10" t="s">
        <v>262</v>
      </c>
      <c r="H10" s="10" t="s">
        <v>278</v>
      </c>
      <c r="I10" s="10" t="s">
        <v>178</v>
      </c>
      <c r="J10" s="10" t="s">
        <v>279</v>
      </c>
    </row>
    <row r="11" customFormat="false" ht="23.85" hidden="false" customHeight="false" outlineLevel="0" collapsed="false">
      <c r="A11" s="10" t="n">
        <v>6</v>
      </c>
      <c r="B11" s="10" t="s">
        <v>280</v>
      </c>
      <c r="C11" s="10" t="n">
        <v>1934</v>
      </c>
      <c r="D11" s="10" t="s">
        <v>254</v>
      </c>
      <c r="E11" s="10" t="s">
        <v>178</v>
      </c>
      <c r="F11" s="10" t="s">
        <v>261</v>
      </c>
      <c r="G11" s="10" t="s">
        <v>262</v>
      </c>
      <c r="H11" s="10" t="s">
        <v>178</v>
      </c>
      <c r="I11" s="10" t="s">
        <v>178</v>
      </c>
      <c r="J11" s="10" t="s">
        <v>281</v>
      </c>
    </row>
    <row r="12" customFormat="false" ht="23.85" hidden="false" customHeight="false" outlineLevel="0" collapsed="false">
      <c r="A12" s="13" t="n">
        <v>7</v>
      </c>
      <c r="B12" s="13" t="s">
        <v>282</v>
      </c>
      <c r="C12" s="13" t="n">
        <v>1923</v>
      </c>
      <c r="D12" s="13" t="s">
        <v>265</v>
      </c>
      <c r="E12" s="13" t="s">
        <v>283</v>
      </c>
      <c r="F12" s="13" t="s">
        <v>261</v>
      </c>
      <c r="G12" s="13" t="s">
        <v>257</v>
      </c>
      <c r="H12" s="13" t="s">
        <v>284</v>
      </c>
      <c r="I12" s="13" t="s">
        <v>178</v>
      </c>
      <c r="J12" s="13" t="s">
        <v>285</v>
      </c>
    </row>
    <row r="13" customFormat="false" ht="23.85" hidden="false" customHeight="false" outlineLevel="0" collapsed="false">
      <c r="A13" s="7" t="n">
        <v>8</v>
      </c>
      <c r="B13" s="7" t="s">
        <v>286</v>
      </c>
      <c r="C13" s="7" t="n">
        <v>1938</v>
      </c>
      <c r="D13" s="7" t="s">
        <v>254</v>
      </c>
      <c r="E13" s="7" t="s">
        <v>178</v>
      </c>
      <c r="F13" s="7" t="s">
        <v>287</v>
      </c>
      <c r="G13" s="7" t="s">
        <v>288</v>
      </c>
      <c r="H13" s="7" t="s">
        <v>289</v>
      </c>
      <c r="I13" s="7" t="s">
        <v>178</v>
      </c>
      <c r="J13" s="7" t="s">
        <v>290</v>
      </c>
    </row>
    <row r="14" customFormat="false" ht="23.85" hidden="false" customHeight="false" outlineLevel="0" collapsed="false">
      <c r="A14" s="10" t="n">
        <v>9</v>
      </c>
      <c r="B14" s="10" t="s">
        <v>291</v>
      </c>
      <c r="C14" s="10" t="n">
        <v>1933</v>
      </c>
      <c r="D14" s="10" t="s">
        <v>254</v>
      </c>
      <c r="E14" s="10" t="s">
        <v>178</v>
      </c>
      <c r="F14" s="10" t="s">
        <v>261</v>
      </c>
      <c r="G14" s="10" t="s">
        <v>262</v>
      </c>
      <c r="H14" s="10" t="s">
        <v>278</v>
      </c>
      <c r="I14" s="10" t="s">
        <v>292</v>
      </c>
      <c r="J14" s="10" t="s">
        <v>285</v>
      </c>
    </row>
    <row r="15" customFormat="false" ht="23.85" hidden="false" customHeight="false" outlineLevel="0" collapsed="false">
      <c r="A15" s="7" t="n">
        <v>10</v>
      </c>
      <c r="B15" s="7" t="s">
        <v>293</v>
      </c>
      <c r="C15" s="7" t="n">
        <v>1937</v>
      </c>
      <c r="D15" s="7" t="s">
        <v>254</v>
      </c>
      <c r="E15" s="7" t="s">
        <v>178</v>
      </c>
      <c r="F15" s="7" t="s">
        <v>261</v>
      </c>
      <c r="G15" s="7" t="s">
        <v>262</v>
      </c>
      <c r="H15" s="7" t="s">
        <v>258</v>
      </c>
      <c r="I15" s="7" t="s">
        <v>178</v>
      </c>
      <c r="J15" s="7" t="s">
        <v>279</v>
      </c>
    </row>
    <row r="16" customFormat="false" ht="35.05" hidden="false" customHeight="false" outlineLevel="0" collapsed="false">
      <c r="A16" s="7" t="n">
        <v>11</v>
      </c>
      <c r="B16" s="7" t="s">
        <v>294</v>
      </c>
      <c r="C16" s="7" t="n">
        <v>1929</v>
      </c>
      <c r="D16" s="7" t="s">
        <v>254</v>
      </c>
      <c r="E16" s="7" t="s">
        <v>178</v>
      </c>
      <c r="F16" s="7" t="s">
        <v>261</v>
      </c>
      <c r="G16" s="7" t="s">
        <v>262</v>
      </c>
      <c r="H16" s="7" t="s">
        <v>178</v>
      </c>
      <c r="I16" s="7" t="s">
        <v>178</v>
      </c>
      <c r="J16" s="7" t="s">
        <v>295</v>
      </c>
    </row>
    <row r="17" customFormat="false" ht="23.85" hidden="false" customHeight="false" outlineLevel="0" collapsed="false">
      <c r="A17" s="7" t="n">
        <v>12</v>
      </c>
      <c r="B17" s="7" t="s">
        <v>296</v>
      </c>
      <c r="C17" s="7" t="n">
        <v>1936</v>
      </c>
      <c r="D17" s="7" t="s">
        <v>254</v>
      </c>
      <c r="E17" s="7" t="s">
        <v>178</v>
      </c>
      <c r="F17" s="7" t="s">
        <v>297</v>
      </c>
      <c r="G17" s="7" t="s">
        <v>262</v>
      </c>
      <c r="H17" s="7" t="s">
        <v>258</v>
      </c>
      <c r="I17" s="7" t="s">
        <v>178</v>
      </c>
      <c r="J17" s="7" t="s">
        <v>279</v>
      </c>
    </row>
    <row r="18" customFormat="false" ht="23.85" hidden="false" customHeight="false" outlineLevel="0" collapsed="false">
      <c r="A18" s="13" t="n">
        <v>13</v>
      </c>
      <c r="B18" s="13" t="s">
        <v>298</v>
      </c>
      <c r="C18" s="13" t="n">
        <v>1921</v>
      </c>
      <c r="D18" s="13" t="s">
        <v>265</v>
      </c>
      <c r="E18" s="13" t="s">
        <v>283</v>
      </c>
      <c r="F18" s="13" t="s">
        <v>261</v>
      </c>
      <c r="G18" s="13" t="s">
        <v>257</v>
      </c>
      <c r="H18" s="13" t="s">
        <v>299</v>
      </c>
      <c r="I18" s="13" t="s">
        <v>178</v>
      </c>
      <c r="J18" s="13" t="s">
        <v>300</v>
      </c>
    </row>
    <row r="19" customFormat="false" ht="23.85" hidden="false" customHeight="false" outlineLevel="0" collapsed="false">
      <c r="A19" s="7" t="n">
        <v>14</v>
      </c>
      <c r="B19" s="7" t="s">
        <v>301</v>
      </c>
      <c r="C19" s="7" t="n">
        <v>1932</v>
      </c>
      <c r="D19" s="7" t="s">
        <v>254</v>
      </c>
      <c r="E19" s="7" t="s">
        <v>178</v>
      </c>
      <c r="F19" s="7" t="s">
        <v>261</v>
      </c>
      <c r="G19" s="7" t="s">
        <v>262</v>
      </c>
      <c r="H19" s="7" t="s">
        <v>178</v>
      </c>
      <c r="I19" s="7" t="s">
        <v>178</v>
      </c>
      <c r="J19" s="7" t="s">
        <v>302</v>
      </c>
    </row>
    <row r="20" customFormat="false" ht="23.85" hidden="false" customHeight="false" outlineLevel="0" collapsed="false">
      <c r="A20" s="10" t="n">
        <v>15</v>
      </c>
      <c r="B20" s="10" t="s">
        <v>303</v>
      </c>
      <c r="C20" s="10" t="n">
        <v>1935</v>
      </c>
      <c r="D20" s="10" t="s">
        <v>254</v>
      </c>
      <c r="E20" s="10" t="s">
        <v>178</v>
      </c>
      <c r="F20" s="10" t="s">
        <v>261</v>
      </c>
      <c r="G20" s="10" t="s">
        <v>262</v>
      </c>
      <c r="H20" s="10" t="s">
        <v>278</v>
      </c>
      <c r="I20" s="10" t="s">
        <v>292</v>
      </c>
      <c r="J20" s="10" t="s">
        <v>304</v>
      </c>
    </row>
    <row r="21" customFormat="false" ht="23.85" hidden="false" customHeight="false" outlineLevel="0" collapsed="false">
      <c r="A21" s="10" t="n">
        <v>16</v>
      </c>
      <c r="B21" s="10" t="s">
        <v>154</v>
      </c>
      <c r="C21" s="10" t="n">
        <v>1938</v>
      </c>
      <c r="D21" s="10" t="s">
        <v>254</v>
      </c>
      <c r="E21" s="10" t="s">
        <v>178</v>
      </c>
      <c r="F21" s="10" t="s">
        <v>261</v>
      </c>
      <c r="G21" s="10" t="s">
        <v>262</v>
      </c>
      <c r="H21" s="10" t="s">
        <v>178</v>
      </c>
      <c r="I21" s="10" t="s">
        <v>178</v>
      </c>
      <c r="J21" s="10" t="s">
        <v>279</v>
      </c>
    </row>
    <row r="22" customFormat="false" ht="23.85" hidden="false" customHeight="false" outlineLevel="0" collapsed="false">
      <c r="A22" s="10" t="n">
        <v>17</v>
      </c>
      <c r="B22" s="10" t="s">
        <v>305</v>
      </c>
      <c r="C22" s="10" t="n">
        <v>1934</v>
      </c>
      <c r="D22" s="10" t="s">
        <v>306</v>
      </c>
      <c r="E22" s="10" t="s">
        <v>178</v>
      </c>
      <c r="F22" s="10" t="s">
        <v>261</v>
      </c>
      <c r="G22" s="10" t="s">
        <v>262</v>
      </c>
      <c r="H22" s="10" t="s">
        <v>278</v>
      </c>
      <c r="I22" s="10" t="s">
        <v>292</v>
      </c>
      <c r="J22" s="10" t="s">
        <v>279</v>
      </c>
    </row>
    <row r="23" customFormat="false" ht="23.85" hidden="false" customHeight="false" outlineLevel="0" collapsed="false">
      <c r="A23" s="10" t="n">
        <v>18</v>
      </c>
      <c r="B23" s="10" t="s">
        <v>149</v>
      </c>
      <c r="C23" s="10" t="n">
        <v>1936</v>
      </c>
      <c r="D23" s="10" t="s">
        <v>254</v>
      </c>
      <c r="E23" s="10" t="s">
        <v>178</v>
      </c>
      <c r="F23" s="10" t="s">
        <v>261</v>
      </c>
      <c r="G23" s="10" t="s">
        <v>262</v>
      </c>
      <c r="H23" s="10" t="s">
        <v>258</v>
      </c>
      <c r="I23" s="10" t="s">
        <v>178</v>
      </c>
      <c r="J23" s="10" t="s">
        <v>259</v>
      </c>
    </row>
    <row r="24" customFormat="false" ht="23.85" hidden="false" customHeight="false" outlineLevel="0" collapsed="false">
      <c r="A24" s="7" t="n">
        <v>19</v>
      </c>
      <c r="B24" s="7" t="s">
        <v>307</v>
      </c>
      <c r="C24" s="7" t="n">
        <v>1937</v>
      </c>
      <c r="D24" s="7" t="s">
        <v>254</v>
      </c>
      <c r="E24" s="7" t="s">
        <v>178</v>
      </c>
      <c r="F24" s="7" t="s">
        <v>261</v>
      </c>
      <c r="G24" s="7" t="s">
        <v>308</v>
      </c>
      <c r="H24" s="7" t="s">
        <v>178</v>
      </c>
      <c r="I24" s="7" t="s">
        <v>178</v>
      </c>
      <c r="J24" s="7" t="s">
        <v>279</v>
      </c>
    </row>
    <row r="25" customFormat="false" ht="23.85" hidden="false" customHeight="false" outlineLevel="0" collapsed="false">
      <c r="A25" s="7" t="n">
        <v>20</v>
      </c>
      <c r="B25" s="7" t="s">
        <v>309</v>
      </c>
      <c r="C25" s="7" t="n">
        <v>1931</v>
      </c>
      <c r="D25" s="7" t="s">
        <v>254</v>
      </c>
      <c r="E25" s="7" t="s">
        <v>178</v>
      </c>
      <c r="F25" s="7" t="s">
        <v>261</v>
      </c>
      <c r="G25" s="7" t="s">
        <v>262</v>
      </c>
      <c r="H25" s="7" t="s">
        <v>258</v>
      </c>
      <c r="I25" s="7" t="s">
        <v>178</v>
      </c>
      <c r="J25" s="7" t="s">
        <v>310</v>
      </c>
    </row>
    <row r="26" customFormat="false" ht="23.85" hidden="false" customHeight="false" outlineLevel="0" collapsed="false">
      <c r="A26" s="13" t="n">
        <v>21</v>
      </c>
      <c r="B26" s="13" t="s">
        <v>311</v>
      </c>
      <c r="C26" s="13" t="n">
        <v>1932</v>
      </c>
      <c r="D26" s="13" t="s">
        <v>265</v>
      </c>
      <c r="E26" s="13" t="s">
        <v>178</v>
      </c>
      <c r="F26" s="13" t="s">
        <v>261</v>
      </c>
      <c r="G26" s="13" t="s">
        <v>262</v>
      </c>
      <c r="H26" s="13" t="s">
        <v>289</v>
      </c>
      <c r="I26" s="13" t="s">
        <v>178</v>
      </c>
      <c r="J26" s="13" t="s">
        <v>279</v>
      </c>
    </row>
    <row r="27" customFormat="false" ht="23.85" hidden="false" customHeight="false" outlineLevel="0" collapsed="false">
      <c r="A27" s="10" t="n">
        <v>22</v>
      </c>
      <c r="B27" s="10" t="s">
        <v>312</v>
      </c>
      <c r="C27" s="10" t="n">
        <v>1936</v>
      </c>
      <c r="D27" s="10" t="s">
        <v>254</v>
      </c>
      <c r="E27" s="10" t="s">
        <v>178</v>
      </c>
      <c r="F27" s="10" t="s">
        <v>313</v>
      </c>
      <c r="G27" s="10" t="s">
        <v>262</v>
      </c>
      <c r="H27" s="10" t="s">
        <v>258</v>
      </c>
      <c r="I27" s="10" t="s">
        <v>178</v>
      </c>
      <c r="J27" s="10" t="s">
        <v>279</v>
      </c>
    </row>
    <row r="28" customFormat="false" ht="23.85" hidden="false" customHeight="false" outlineLevel="0" collapsed="false">
      <c r="A28" s="13" t="n">
        <v>23</v>
      </c>
      <c r="B28" s="13" t="s">
        <v>198</v>
      </c>
      <c r="C28" s="13" t="n">
        <v>1935</v>
      </c>
      <c r="D28" s="13" t="s">
        <v>314</v>
      </c>
      <c r="E28" s="13" t="s">
        <v>178</v>
      </c>
      <c r="F28" s="13" t="s">
        <v>261</v>
      </c>
      <c r="G28" s="13" t="s">
        <v>262</v>
      </c>
      <c r="H28" s="13" t="s">
        <v>278</v>
      </c>
      <c r="I28" s="13" t="s">
        <v>178</v>
      </c>
      <c r="J28" s="13" t="s">
        <v>279</v>
      </c>
    </row>
    <row r="29" customFormat="false" ht="23.85" hidden="false" customHeight="false" outlineLevel="0" collapsed="false">
      <c r="A29" s="10" t="n">
        <v>24</v>
      </c>
      <c r="B29" s="10" t="s">
        <v>315</v>
      </c>
      <c r="C29" s="10" t="n">
        <v>1930</v>
      </c>
      <c r="D29" s="10" t="s">
        <v>254</v>
      </c>
      <c r="E29" s="10" t="s">
        <v>283</v>
      </c>
      <c r="F29" s="10" t="s">
        <v>261</v>
      </c>
      <c r="G29" s="10" t="s">
        <v>257</v>
      </c>
      <c r="H29" s="10" t="s">
        <v>284</v>
      </c>
      <c r="I29" s="10" t="s">
        <v>178</v>
      </c>
      <c r="J29" s="10" t="s">
        <v>300</v>
      </c>
    </row>
    <row r="30" customFormat="false" ht="23.85" hidden="false" customHeight="false" outlineLevel="0" collapsed="false">
      <c r="A30" s="7" t="n">
        <v>25</v>
      </c>
      <c r="B30" s="7" t="s">
        <v>206</v>
      </c>
      <c r="C30" s="7" t="n">
        <v>1909</v>
      </c>
      <c r="D30" s="7" t="s">
        <v>254</v>
      </c>
      <c r="E30" s="7" t="s">
        <v>178</v>
      </c>
      <c r="F30" s="7" t="s">
        <v>316</v>
      </c>
      <c r="G30" s="7" t="s">
        <v>262</v>
      </c>
      <c r="H30" s="7" t="s">
        <v>317</v>
      </c>
      <c r="I30" s="7" t="s">
        <v>178</v>
      </c>
      <c r="J30" s="7" t="s">
        <v>318</v>
      </c>
    </row>
    <row r="31" customFormat="false" ht="23.85" hidden="false" customHeight="false" outlineLevel="0" collapsed="false">
      <c r="A31" s="11" t="n">
        <v>26</v>
      </c>
      <c r="B31" s="11" t="s">
        <v>237</v>
      </c>
      <c r="C31" s="11" t="n">
        <v>1894</v>
      </c>
      <c r="D31" s="11" t="s">
        <v>265</v>
      </c>
      <c r="E31" s="11" t="s">
        <v>266</v>
      </c>
      <c r="F31" s="11" t="s">
        <v>319</v>
      </c>
      <c r="G31" s="11" t="s">
        <v>320</v>
      </c>
      <c r="H31" s="11" t="s">
        <v>321</v>
      </c>
      <c r="I31" s="11" t="s">
        <v>178</v>
      </c>
      <c r="J31" s="11" t="s">
        <v>322</v>
      </c>
    </row>
    <row r="32" customFormat="false" ht="23.85" hidden="false" customHeight="false" outlineLevel="0" collapsed="false">
      <c r="A32" s="13" t="n">
        <v>27</v>
      </c>
      <c r="B32" s="13" t="s">
        <v>193</v>
      </c>
      <c r="C32" s="13" t="n">
        <v>1937</v>
      </c>
      <c r="D32" s="13" t="s">
        <v>323</v>
      </c>
      <c r="E32" s="13" t="s">
        <v>178</v>
      </c>
      <c r="F32" s="13" t="s">
        <v>324</v>
      </c>
      <c r="G32" s="13" t="s">
        <v>262</v>
      </c>
      <c r="H32" s="13" t="s">
        <v>289</v>
      </c>
      <c r="I32" s="13" t="s">
        <v>178</v>
      </c>
      <c r="J32" s="13" t="s">
        <v>325</v>
      </c>
    </row>
    <row r="33" customFormat="false" ht="35.05" hidden="false" customHeight="false" outlineLevel="0" collapsed="false">
      <c r="A33" s="13" t="n">
        <v>28</v>
      </c>
      <c r="B33" s="13" t="s">
        <v>326</v>
      </c>
      <c r="C33" s="13" t="n">
        <v>1931</v>
      </c>
      <c r="D33" s="13" t="s">
        <v>265</v>
      </c>
      <c r="E33" s="13" t="s">
        <v>327</v>
      </c>
      <c r="F33" s="13" t="s">
        <v>328</v>
      </c>
      <c r="G33" s="13" t="s">
        <v>257</v>
      </c>
      <c r="H33" s="13" t="s">
        <v>284</v>
      </c>
      <c r="I33" s="13" t="s">
        <v>178</v>
      </c>
      <c r="J33" s="13" t="s">
        <v>263</v>
      </c>
    </row>
    <row r="34" customFormat="false" ht="23.85" hidden="false" customHeight="false" outlineLevel="0" collapsed="false">
      <c r="A34" s="7" t="n">
        <v>29</v>
      </c>
      <c r="B34" s="7" t="s">
        <v>329</v>
      </c>
      <c r="C34" s="7" t="n">
        <v>1931</v>
      </c>
      <c r="D34" s="7" t="s">
        <v>254</v>
      </c>
      <c r="E34" s="7" t="s">
        <v>178</v>
      </c>
      <c r="F34" s="7" t="s">
        <v>261</v>
      </c>
      <c r="G34" s="7" t="s">
        <v>262</v>
      </c>
      <c r="H34" s="7" t="s">
        <v>289</v>
      </c>
      <c r="I34" s="7" t="s">
        <v>178</v>
      </c>
      <c r="J34" s="7" t="s">
        <v>279</v>
      </c>
    </row>
    <row r="35" customFormat="false" ht="23.85" hidden="false" customHeight="false" outlineLevel="0" collapsed="false">
      <c r="A35" s="10" t="n">
        <v>30</v>
      </c>
      <c r="B35" s="10" t="s">
        <v>330</v>
      </c>
      <c r="C35" s="10" t="n">
        <v>1933</v>
      </c>
      <c r="D35" s="10" t="s">
        <v>331</v>
      </c>
      <c r="E35" s="10" t="s">
        <v>178</v>
      </c>
      <c r="F35" s="10" t="s">
        <v>261</v>
      </c>
      <c r="G35" s="10" t="s">
        <v>262</v>
      </c>
      <c r="H35" s="10" t="s">
        <v>278</v>
      </c>
      <c r="I35" s="10" t="s">
        <v>178</v>
      </c>
      <c r="J35" s="10" t="s">
        <v>285</v>
      </c>
    </row>
    <row r="36" customFormat="false" ht="23.85" hidden="false" customHeight="false" outlineLevel="0" collapsed="false">
      <c r="A36" s="13" t="n">
        <v>31</v>
      </c>
      <c r="B36" s="13" t="s">
        <v>332</v>
      </c>
      <c r="C36" s="13" t="n">
        <v>1931</v>
      </c>
      <c r="D36" s="13" t="s">
        <v>265</v>
      </c>
      <c r="E36" s="13" t="s">
        <v>178</v>
      </c>
      <c r="F36" s="13" t="s">
        <v>333</v>
      </c>
      <c r="G36" s="13" t="s">
        <v>262</v>
      </c>
      <c r="H36" s="13" t="s">
        <v>284</v>
      </c>
      <c r="I36" s="13" t="s">
        <v>178</v>
      </c>
      <c r="J36" s="13" t="s">
        <v>334</v>
      </c>
    </row>
    <row r="37" customFormat="false" ht="23.85" hidden="false" customHeight="false" outlineLevel="0" collapsed="false">
      <c r="A37" s="10" t="n">
        <v>32</v>
      </c>
      <c r="B37" s="10" t="s">
        <v>335</v>
      </c>
      <c r="C37" s="10" t="n">
        <v>1939</v>
      </c>
      <c r="D37" s="10" t="s">
        <v>254</v>
      </c>
      <c r="E37" s="10" t="s">
        <v>178</v>
      </c>
      <c r="F37" s="10" t="s">
        <v>261</v>
      </c>
      <c r="G37" s="10" t="s">
        <v>336</v>
      </c>
      <c r="H37" s="10" t="s">
        <v>178</v>
      </c>
      <c r="I37" s="10" t="s">
        <v>178</v>
      </c>
      <c r="J37" s="10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337</v>
      </c>
    </row>
    <row r="2" customFormat="false" ht="15" hidden="false" customHeight="false" outlineLevel="0" collapsed="false">
      <c r="A2" s="2" t="s">
        <v>338</v>
      </c>
    </row>
    <row r="3" customFormat="false" ht="15" hidden="false" customHeight="false" outlineLevel="0" collapsed="false">
      <c r="A3" s="2" t="s">
        <v>339</v>
      </c>
    </row>
    <row r="5" customFormat="false" ht="30" hidden="false" customHeight="true" outlineLevel="0" collapsed="false">
      <c r="A5" s="9" t="s">
        <v>340</v>
      </c>
      <c r="B5" s="9" t="s">
        <v>341</v>
      </c>
      <c r="C5" s="9" t="s">
        <v>342</v>
      </c>
    </row>
    <row r="6" customFormat="false" ht="15" hidden="false" customHeight="false" outlineLevel="0" collapsed="false">
      <c r="A6" s="7" t="s">
        <v>343</v>
      </c>
      <c r="B6" s="7" t="n">
        <v>1</v>
      </c>
      <c r="C6" s="7" t="s">
        <v>344</v>
      </c>
    </row>
    <row r="7" customFormat="false" ht="15" hidden="false" customHeight="false" outlineLevel="0" collapsed="false">
      <c r="A7" s="7" t="s">
        <v>345</v>
      </c>
      <c r="B7" s="7" t="n">
        <v>2</v>
      </c>
      <c r="C7" s="7" t="s">
        <v>346</v>
      </c>
    </row>
    <row r="8" customFormat="false" ht="23.85" hidden="false" customHeight="false" outlineLevel="0" collapsed="false">
      <c r="A8" s="7" t="s">
        <v>347</v>
      </c>
      <c r="B8" s="7" t="n">
        <v>5</v>
      </c>
      <c r="C8" s="7" t="s">
        <v>348</v>
      </c>
    </row>
    <row r="9" customFormat="false" ht="15" hidden="false" customHeight="false" outlineLevel="0" collapsed="false">
      <c r="A9" s="7" t="s">
        <v>349</v>
      </c>
      <c r="B9" s="7" t="n">
        <v>22</v>
      </c>
      <c r="C9" s="7" t="s">
        <v>350</v>
      </c>
    </row>
    <row r="10" customFormat="false" ht="15" hidden="false" customHeight="false" outlineLevel="0" collapsed="false">
      <c r="A10" s="7" t="s">
        <v>351</v>
      </c>
      <c r="B10" s="7" t="n">
        <v>10</v>
      </c>
      <c r="C10" s="7" t="s">
        <v>352</v>
      </c>
    </row>
    <row r="11" customFormat="false" ht="15" hidden="false" customHeight="false" outlineLevel="0" collapsed="false">
      <c r="A11" s="7" t="s">
        <v>353</v>
      </c>
      <c r="B11" s="7" t="n">
        <v>3</v>
      </c>
      <c r="C11" s="7" t="s">
        <v>352</v>
      </c>
    </row>
    <row r="12" customFormat="false" ht="15" hidden="false" customHeight="false" outlineLevel="0" collapsed="false">
      <c r="A12" s="7" t="s">
        <v>354</v>
      </c>
      <c r="B12" s="7" t="n">
        <v>1</v>
      </c>
      <c r="C12" s="7" t="s">
        <v>178</v>
      </c>
    </row>
    <row r="13" customFormat="false" ht="15" hidden="false" customHeight="false" outlineLevel="0" collapsed="false">
      <c r="A13" s="7" t="s">
        <v>355</v>
      </c>
      <c r="B13" s="7" t="n">
        <v>1</v>
      </c>
      <c r="C13" s="7" t="s">
        <v>178</v>
      </c>
    </row>
    <row r="14" customFormat="false" ht="15" hidden="false" customHeight="false" outlineLevel="0" collapsed="false">
      <c r="A14" s="7" t="s">
        <v>356</v>
      </c>
      <c r="B14" s="7" t="n">
        <v>1</v>
      </c>
      <c r="C14" s="7" t="s">
        <v>178</v>
      </c>
    </row>
    <row r="15" customFormat="false" ht="15" hidden="false" customHeight="false" outlineLevel="0" collapsed="false">
      <c r="A15" s="5" t="s">
        <v>357</v>
      </c>
      <c r="B15" s="5" t="n">
        <f aca="false">SUM(B6:B14)</f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358</v>
      </c>
    </row>
    <row r="2" customFormat="false" ht="15" hidden="false" customHeight="false" outlineLevel="0" collapsed="false">
      <c r="A2" s="2" t="s">
        <v>359</v>
      </c>
    </row>
    <row r="3" customFormat="false" ht="15" hidden="false" customHeight="false" outlineLevel="0" collapsed="false">
      <c r="A3" s="2" t="s">
        <v>360</v>
      </c>
    </row>
    <row r="5" customFormat="false" ht="30" hidden="false" customHeight="true" outlineLevel="0" collapsed="false">
      <c r="A5" s="9" t="s">
        <v>361</v>
      </c>
      <c r="B5" s="9" t="s">
        <v>362</v>
      </c>
    </row>
    <row r="6" customFormat="false" ht="23.85" hidden="false" customHeight="false" outlineLevel="0" collapsed="false">
      <c r="A6" s="7" t="s">
        <v>363</v>
      </c>
      <c r="B6" s="7" t="s">
        <v>364</v>
      </c>
    </row>
    <row r="7" customFormat="false" ht="15" hidden="false" customHeight="false" outlineLevel="0" collapsed="false">
      <c r="A7" s="7" t="s">
        <v>365</v>
      </c>
      <c r="B7" s="7" t="s">
        <v>366</v>
      </c>
    </row>
    <row r="8" customFormat="false" ht="15" hidden="false" customHeight="false" outlineLevel="0" collapsed="false">
      <c r="A8" s="7" t="s">
        <v>367</v>
      </c>
      <c r="B8" s="7" t="s">
        <v>178</v>
      </c>
    </row>
    <row r="9" customFormat="false" ht="15" hidden="false" customHeight="false" outlineLevel="0" collapsed="false">
      <c r="A9" s="7" t="s">
        <v>368</v>
      </c>
      <c r="B9" s="7" t="s">
        <v>178</v>
      </c>
    </row>
    <row r="10" customFormat="false" ht="15" hidden="false" customHeight="false" outlineLevel="0" collapsed="false">
      <c r="A10" s="7" t="s">
        <v>369</v>
      </c>
      <c r="B10" s="7" t="s">
        <v>178</v>
      </c>
    </row>
    <row r="11" customFormat="false" ht="15" hidden="false" customHeight="false" outlineLevel="0" collapsed="false">
      <c r="A11" s="7" t="s">
        <v>370</v>
      </c>
      <c r="B11" s="7" t="s">
        <v>178</v>
      </c>
    </row>
    <row r="12" customFormat="false" ht="15" hidden="false" customHeight="false" outlineLevel="0" collapsed="false">
      <c r="A12" s="7" t="s">
        <v>371</v>
      </c>
      <c r="B12" s="7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2026-05-07T10:26:07Z</dcterms:created>
  <dc:creator>openpyxl</dc:creator>
  <dc:description/>
  <dc:language>en-US</dc:language>
  <cp:lastModifiedBy/>
  <dcterms:modified xsi:type="dcterms:W3CDTF">2026-05-07T10:26:07Z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